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teChiang(江蕙苓)\Downloads\"/>
    </mc:Choice>
  </mc:AlternateContent>
  <xr:revisionPtr revIDLastSave="0" documentId="13_ncr:1_{2A6A2534-6D0C-4001-B3E3-FC57681A4E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國泰世華" sheetId="1" r:id="rId1"/>
    <sheet name="APIGE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ax96PLm5zfMrjBMCGXtruXlXR+AXCVaKl46kYxmLBk="/>
    </ext>
  </extLst>
</workbook>
</file>

<file path=xl/calcChain.xml><?xml version="1.0" encoding="utf-8"?>
<calcChain xmlns="http://schemas.openxmlformats.org/spreadsheetml/2006/main">
  <c r="O10" i="2" l="1"/>
  <c r="O9" i="2"/>
  <c r="O5" i="2"/>
  <c r="O3" i="2"/>
  <c r="O4" i="2"/>
</calcChain>
</file>

<file path=xl/sharedStrings.xml><?xml version="1.0" encoding="utf-8"?>
<sst xmlns="http://schemas.openxmlformats.org/spreadsheetml/2006/main" count="4297" uniqueCount="430">
  <si>
    <t>GCP 2026年03月費用清單</t>
  </si>
  <si>
    <t>GCP 用量總金額</t>
  </si>
  <si>
    <t>美金</t>
  </si>
  <si>
    <t>客戶名稱：</t>
  </si>
  <si>
    <t>國泰世華</t>
  </si>
  <si>
    <t>Partner 用量金額</t>
  </si>
  <si>
    <t>地址：</t>
  </si>
  <si>
    <t>匯率</t>
  </si>
  <si>
    <t>統一編號：</t>
  </si>
  <si>
    <t>計費類型：</t>
  </si>
  <si>
    <t>Billing Account</t>
  </si>
  <si>
    <t>付費帳戶：</t>
  </si>
  <si>
    <t>01A890-7C1B4C-AE7BA6</t>
  </si>
  <si>
    <t>營業稅</t>
  </si>
  <si>
    <t>5%</t>
  </si>
  <si>
    <t>帳款到期日期：</t>
  </si>
  <si>
    <t>應付金額</t>
  </si>
  <si>
    <t>台幣</t>
  </si>
  <si>
    <t>專案 ID
(Project ID)</t>
  </si>
  <si>
    <t>專案名稱
(Project Name)</t>
  </si>
  <si>
    <t>產品服務
(Service description)</t>
  </si>
  <si>
    <t>產品 ID
(Service ID)</t>
  </si>
  <si>
    <t>資源類型
(SKU description)</t>
  </si>
  <si>
    <t>資源 ID
(SKU ID)</t>
  </si>
  <si>
    <t>用量開始日期
(Usage start date)</t>
  </si>
  <si>
    <t>用量結束日期
(Usage end date)</t>
  </si>
  <si>
    <t>使用數量
(Usage amount)</t>
  </si>
  <si>
    <t>單位
(Usage unit)</t>
  </si>
  <si>
    <t>FREE_TIER</t>
  </si>
  <si>
    <t>COMMITTED_USAGE_DISCOUNT</t>
  </si>
  <si>
    <t>COMMITTED_USAGE_DISCOUNT_DOLLAR_BASE</t>
  </si>
  <si>
    <t>DISCOUNT</t>
  </si>
  <si>
    <t>PROMOTION</t>
  </si>
  <si>
    <t>SUBSCRIPTION_BENEFIT</t>
  </si>
  <si>
    <t>SUSTAINED_USAGE_DISCOUNT</t>
  </si>
  <si>
    <t>Google 金額
(Cost ($))</t>
  </si>
  <si>
    <t>Partner 金額
(Partner Cost($))</t>
  </si>
  <si>
    <t>Google Discount</t>
  </si>
  <si>
    <t>Partner Discount</t>
  </si>
  <si>
    <t>Total Discount</t>
  </si>
  <si>
    <t>gai-cp-ncb-01-ut-42a197</t>
  </si>
  <si>
    <t>gai-cp-ncb-01-ut</t>
  </si>
  <si>
    <t>Apigee</t>
  </si>
  <si>
    <t>1C2D-8C78-EC58</t>
  </si>
  <si>
    <t>Apigee PAYG mode</t>
  </si>
  <si>
    <t>023D-4D0B-712E</t>
  </si>
  <si>
    <t>count</t>
  </si>
  <si>
    <t>gai-cp-ncb-01-uat-a86d14</t>
  </si>
  <si>
    <t>gai-cp-ncb-01-uat</t>
  </si>
  <si>
    <t>gai-cp-ncb-01-prod-d8272f</t>
  </si>
  <si>
    <t>gai-cp-ncb-01-prod</t>
  </si>
  <si>
    <t>Apigee X Standard (2024) subscription_February</t>
  </si>
  <si>
    <t>Apigee X Standard (2024) subscription_March</t>
  </si>
  <si>
    <t>Apigee X Standard (2024) subscription_April</t>
  </si>
  <si>
    <t>Vertex AI Search</t>
  </si>
  <si>
    <t>74B1-77CF-C302</t>
  </si>
  <si>
    <t>Vertex AI Search: Search API Request Count - LLM Add-on</t>
  </si>
  <si>
    <t>151B-D7A2-B5B5</t>
  </si>
  <si>
    <t>2026-03-09</t>
  </si>
  <si>
    <t>2026-03-30</t>
  </si>
  <si>
    <t>Vertex AI Search: Search API Request Count - Enterprise</t>
  </si>
  <si>
    <t>93D6-7280-CF05</t>
  </si>
  <si>
    <t>Vertex AI Search and Conversation: Data Index</t>
  </si>
  <si>
    <t>BC7D-6A97-90F8</t>
  </si>
  <si>
    <t>2026-02-05</t>
  </si>
  <si>
    <t>2026-03-31</t>
  </si>
  <si>
    <t>gibibyte month</t>
  </si>
  <si>
    <t>mid-cp-cna-01-ut-c1e99c</t>
  </si>
  <si>
    <t>mid-cp-cna-01-ut</t>
  </si>
  <si>
    <t>Vertex AI</t>
  </si>
  <si>
    <t>C7E2-9256-1C43</t>
  </si>
  <si>
    <t>Gemini 3 Flash Text Output - Predictions</t>
  </si>
  <si>
    <t>0127-F0B7-365E</t>
  </si>
  <si>
    <t>2026-03-10</t>
  </si>
  <si>
    <t>gai-cp-ifa-01-ut-c1bdd9</t>
  </si>
  <si>
    <t>gai-cp-ifa-01-ut</t>
  </si>
  <si>
    <t>2026-03-02</t>
  </si>
  <si>
    <t>2026-03-13</t>
  </si>
  <si>
    <t>cube-dataplex-poc-491307</t>
  </si>
  <si>
    <t>cube-dataplex-poc</t>
  </si>
  <si>
    <t>Vertex AI: ReasoningEngine management fee on Memory</t>
  </si>
  <si>
    <t>0B45-6103-6EC1</t>
  </si>
  <si>
    <t>2026-03-27</t>
  </si>
  <si>
    <t>gibibyte second</t>
  </si>
  <si>
    <t>Gemini 2.5 Pro Thinking Text Output (Long) - Predictions</t>
  </si>
  <si>
    <t>0D55-40C7-EBAD</t>
  </si>
  <si>
    <t>2026-03-01</t>
  </si>
  <si>
    <t>2026-03-24</t>
  </si>
  <si>
    <t>sessions events appended in global</t>
  </si>
  <si>
    <t>0D5A-FCD2-CB63</t>
  </si>
  <si>
    <t>gai-cp-ifa-01-uat-c4dfdc</t>
  </si>
  <si>
    <t>gai-cp-ifa-01-uat</t>
  </si>
  <si>
    <t>Gemini 2.0 Flash Text Input - Predictions</t>
  </si>
  <si>
    <t>1127-99B9-1860</t>
  </si>
  <si>
    <t>2026-03-20</t>
  </si>
  <si>
    <t>2026-03-23</t>
  </si>
  <si>
    <t>cube-dataplex-poc-481702</t>
  </si>
  <si>
    <t>gai-cp-ifa-01-prod-f7cb7d</t>
  </si>
  <si>
    <t>gai-cp-ifa-01-prod</t>
  </si>
  <si>
    <t>2026-02-15</t>
  </si>
  <si>
    <t>Grounding with Google Search on Gemini 3</t>
  </si>
  <si>
    <t>1DB9-E3DA-3354</t>
  </si>
  <si>
    <t>2026-03-11</t>
  </si>
  <si>
    <t>2026-03-12</t>
  </si>
  <si>
    <t>Gemini 3.0 Pro Text Output - Predictions</t>
  </si>
  <si>
    <t>2737-2D33-D986</t>
  </si>
  <si>
    <t>gai-cp-isd-01-ut-da8e15</t>
  </si>
  <si>
    <t>gai-cp-isd-01-ut</t>
  </si>
  <si>
    <t>Gemini 2.5 Flash Lite Text Output - Predictions</t>
  </si>
  <si>
    <t>2D6E-6AC5-B1FD</t>
  </si>
  <si>
    <t>2026-03-25</t>
  </si>
  <si>
    <t>2026-03-26</t>
  </si>
  <si>
    <t>Gemini 2.5 Pro Text Output - Predictions</t>
  </si>
  <si>
    <t>5DA2-3F77-1CA5</t>
  </si>
  <si>
    <t>Gemini 2.5 Flash Lite Image Input - Predictions</t>
  </si>
  <si>
    <t>6011-E737-2479</t>
  </si>
  <si>
    <t>2026-03-19</t>
  </si>
  <si>
    <t>Gemini 2.5 Pro Image Input Priority - Predictions</t>
  </si>
  <si>
    <t>65EA-1B3F-A4DA</t>
  </si>
  <si>
    <t>2026-03-29</t>
  </si>
  <si>
    <t>Gemini 2.5 Flash GA Text Input Caching Priority</t>
  </si>
  <si>
    <t>6654-E6AC-4F3C</t>
  </si>
  <si>
    <t>lab-ut-shared-services-439708</t>
  </si>
  <si>
    <t>lab-ut-shared-services</t>
  </si>
  <si>
    <t>Gemini 3.1 Flash Lite Global Text Input - Predictions</t>
  </si>
  <si>
    <t>7DDF-162F-B3F3</t>
  </si>
  <si>
    <t>Gemini 3 Flash Text Input - Predictions</t>
  </si>
  <si>
    <t>7EBE-3B46-F75C</t>
  </si>
  <si>
    <t>2026-03-22</t>
  </si>
  <si>
    <t>2026-03-15</t>
  </si>
  <si>
    <t>Gemini 3.0 Pro Text Input Caching</t>
  </si>
  <si>
    <t>8308-9CED-8950</t>
  </si>
  <si>
    <t xml:space="preserve"> Gemini 2.5 Pro Input Image Caching</t>
  </si>
  <si>
    <t>85D1-8B9D-D7F9</t>
  </si>
  <si>
    <t>Vertex AI: ReasoningEngine management fee on CPU</t>
  </si>
  <si>
    <t>8A55-0B95-B7DC</t>
  </si>
  <si>
    <t>second</t>
  </si>
  <si>
    <t>Gemini 2.5 Pro Text Input Caching Priority</t>
  </si>
  <si>
    <t>8CD4-D8F7-4D2E</t>
  </si>
  <si>
    <t>Gemini 2.5 Flash GA Text Output Priority - Predictions</t>
  </si>
  <si>
    <t>94EF-30D5-8E3B</t>
  </si>
  <si>
    <t xml:space="preserve"> Gemini 2.5 Flash Lite Input Text Caching</t>
  </si>
  <si>
    <t>95C5-4D3B-D378</t>
  </si>
  <si>
    <t>2026-03-18</t>
  </si>
  <si>
    <t>Gemini 3.0 Pro Image Input - Predictions</t>
  </si>
  <si>
    <t>98E0-CA2E-4AA8</t>
  </si>
  <si>
    <t>Gemini 2.5 Pro Image Input Caching Priority</t>
  </si>
  <si>
    <t>9E75-83CD-4A6A</t>
  </si>
  <si>
    <t>Gemini 2.5 Pro Text Input - Predictions</t>
  </si>
  <si>
    <t>A121-E2B5-1418</t>
  </si>
  <si>
    <t xml:space="preserve"> Gemini 2.5 Flash GA Input Text Caching</t>
  </si>
  <si>
    <t>A1C1-77CC-6FAE</t>
  </si>
  <si>
    <t>2026-03-05</t>
  </si>
  <si>
    <t>2026-03-17</t>
  </si>
  <si>
    <t>Gemini 2.5 Flash GA Text Output (Thinking On) - Predictions</t>
  </si>
  <si>
    <t>A253-E8A3-DE5C</t>
  </si>
  <si>
    <t>2026-03-08</t>
  </si>
  <si>
    <t xml:space="preserve"> Gemini 2.5 Pro Input Text Caching (Long)</t>
  </si>
  <si>
    <t>A7E4-0EAD-1D2E</t>
  </si>
  <si>
    <t>2026-03-16</t>
  </si>
  <si>
    <t>Gemini 2.5 Flash Lite Thinking Text Output - Predictions</t>
  </si>
  <si>
    <t>ACF4-228D-37B4</t>
  </si>
  <si>
    <t xml:space="preserve"> Gemini 2.5 Flash GA Text Output - Predictions</t>
  </si>
  <si>
    <t>AF56-1BF9-492A</t>
  </si>
  <si>
    <t>Gemini 2.5 Pro Image Input - Predictions</t>
  </si>
  <si>
    <t>B401-3774-BCEE</t>
  </si>
  <si>
    <t>Gemini 2.5 Flash Lite Image Input Priority - Predictions</t>
  </si>
  <si>
    <t>B4B9-4B83-9A22</t>
  </si>
  <si>
    <t>Gemini 2.5 Pro Text Output (Long) - Predictions</t>
  </si>
  <si>
    <t>B78D-D964-CC4C</t>
  </si>
  <si>
    <t>Gemini 2.5 Flash Lite Text Input Priority - Predictions</t>
  </si>
  <si>
    <t>CA1C-7AD0-E439</t>
  </si>
  <si>
    <t>Gemini 2.5 Flash GA Thinking Text Output - Predictions</t>
  </si>
  <si>
    <t>CD33-11F4-1220</t>
  </si>
  <si>
    <t xml:space="preserve"> Gemini 2.5 Flash Lite Input Image Caching</t>
  </si>
  <si>
    <t>CF7E-6B49-1DBB</t>
  </si>
  <si>
    <t>Gemini 2.5 Flash Lite Text Output Priority - Predictions</t>
  </si>
  <si>
    <t>D060-BCE7-90BE</t>
  </si>
  <si>
    <t>Gemini 2.5 Pro Text Input (Long) - Predictions</t>
  </si>
  <si>
    <t>D4AE-D74C-0DFC</t>
  </si>
  <si>
    <t>2026-02-28</t>
  </si>
  <si>
    <t>Gemini 2.5 Flash Text Input Priority - Predictions</t>
  </si>
  <si>
    <t>D508-F651-BC1E</t>
  </si>
  <si>
    <t>Gemini 3.1 Flash Lite Global Text Output - Predictions</t>
  </si>
  <si>
    <t>DA75-5E07-40DC</t>
  </si>
  <si>
    <t>Gemini 2.5 Pro Text Input Priority - Predictions</t>
  </si>
  <si>
    <t>DDF9-9A9D-DDCB</t>
  </si>
  <si>
    <t>Gemini 2.0 Flash Text Output - Predictions</t>
  </si>
  <si>
    <t>DFB0-8442-43A8</t>
  </si>
  <si>
    <t>Gemini 2.5 Pro Thinking Text Output - Predictions</t>
  </si>
  <si>
    <t>E367-697F-F274</t>
  </si>
  <si>
    <t>Gemini 3 Flash Text Input Caching</t>
  </si>
  <si>
    <t>E5C2-A033-7712</t>
  </si>
  <si>
    <t>Gemini 2.5 Pro Text Output Priority - Predictions</t>
  </si>
  <si>
    <t>E717-55F2-8B90</t>
  </si>
  <si>
    <t>Embeddings for Text - Predictions</t>
  </si>
  <si>
    <t>E7B1-197A-4394</t>
  </si>
  <si>
    <t xml:space="preserve"> Gemini 2.5 Pro Input Text Caching</t>
  </si>
  <si>
    <t>E941-1B12-88B9</t>
  </si>
  <si>
    <t>Gemini 3.0 Pro Text Input - Predictions</t>
  </si>
  <si>
    <t>EAC4-305F-1249</t>
  </si>
  <si>
    <t>Gemini 3.1 Flash Lite Global Image Input - Predictions</t>
  </si>
  <si>
    <t>F033-5EFD-414C</t>
  </si>
  <si>
    <t>Gemini 2.5 Pro Thinking Text Output Priority - Predictions</t>
  </si>
  <si>
    <t>F4B4-DA37-FB5B</t>
  </si>
  <si>
    <t>Gemini 2.5 Flash Lite Text Input - Predictions</t>
  </si>
  <si>
    <t>F91E-007E-3BA1</t>
  </si>
  <si>
    <t>Gemini 2.5 Flash GA Text Input - Predictions</t>
  </si>
  <si>
    <t>FDAB-647C-5A22</t>
  </si>
  <si>
    <t>gai-cp-gah-01-uat-b759d5</t>
  </si>
  <si>
    <t>gai-cp-gah-01-uat</t>
  </si>
  <si>
    <t>Artifact Registry</t>
  </si>
  <si>
    <t>149C-F9EC-3994</t>
  </si>
  <si>
    <t>Artifact Registry Network Internet Egress AsiaPacfic to AsiaPacfic</t>
  </si>
  <si>
    <t>2CB3-644D-F192</t>
  </si>
  <si>
    <t>gibibyte</t>
  </si>
  <si>
    <t>2026-03-06</t>
  </si>
  <si>
    <t>gai-cp-gah-01-ut-c25cda</t>
  </si>
  <si>
    <t>gai-cp-gah-01-ut</t>
  </si>
  <si>
    <t>Artifact Registry Network Intra Region Egress</t>
  </si>
  <si>
    <t>546B-E8F2-6FF5</t>
  </si>
  <si>
    <t>Artifact Registry Storage</t>
  </si>
  <si>
    <t>8502-299A-ABAF</t>
  </si>
  <si>
    <t>Artifact Registry GOOGLE-API Egress</t>
  </si>
  <si>
    <t>E794-0787-45A9</t>
  </si>
  <si>
    <t>Cloud Run</t>
  </si>
  <si>
    <t>152E-C115-5142</t>
  </si>
  <si>
    <t>Jobs CPU in asia-east1</t>
  </si>
  <si>
    <t>7E09-0800-D3BA</t>
  </si>
  <si>
    <t>2026-02-06</t>
  </si>
  <si>
    <t>Jobs Memory in asia-east1</t>
  </si>
  <si>
    <t>C6C8-2DBE-9801</t>
  </si>
  <si>
    <t>Cloud Scheduler</t>
  </si>
  <si>
    <t>1F14-4801-0E16</t>
  </si>
  <si>
    <t>Jobs</t>
  </si>
  <si>
    <t>A5D6-43A2-28A7</t>
  </si>
  <si>
    <t>Cloud Logging</t>
  </si>
  <si>
    <t>5490-F7B7-8DF6</t>
  </si>
  <si>
    <t>Log Storage cost</t>
  </si>
  <si>
    <t>143F-A1B0-E0BE</t>
  </si>
  <si>
    <t>2026-02-07</t>
  </si>
  <si>
    <t>2026-02-08</t>
  </si>
  <si>
    <t>Log Retention cost</t>
  </si>
  <si>
    <t>F4AE-5A52-ACE3</t>
  </si>
  <si>
    <t>Cloud Monitoring</t>
  </si>
  <si>
    <t>58CD-E7C3-72CA</t>
  </si>
  <si>
    <t>Prometheus Samples Ingested</t>
  </si>
  <si>
    <t>A4E4-DF03-CDB6</t>
  </si>
  <si>
    <t>Metric Volume</t>
  </si>
  <si>
    <t>A924-09D0-8854</t>
  </si>
  <si>
    <t>mebibyte</t>
  </si>
  <si>
    <t>2026-03-03</t>
  </si>
  <si>
    <t>Cloud Memorystore for Redis</t>
  </si>
  <si>
    <t>5AF5-2C11-D467</t>
  </si>
  <si>
    <t>Redis Capacity Standard M2 Taiwan</t>
  </si>
  <si>
    <t>0F48-0922-AEDD</t>
  </si>
  <si>
    <t>gibibyte hour</t>
  </si>
  <si>
    <t>Compute Engine</t>
  </si>
  <si>
    <t>6F81-5844-456A</t>
  </si>
  <si>
    <t>Network Intra Zone Data Transfer Out</t>
  </si>
  <si>
    <t>14F9-7705-2FD4</t>
  </si>
  <si>
    <t>Network Data Transfer In from Google Services from APAC to APAC</t>
  </si>
  <si>
    <t>212E-B31F-3BF6</t>
  </si>
  <si>
    <t>Committed Use Discount Premium for E2 Custom Instance Core running in Taiwan</t>
  </si>
  <si>
    <t>27E5-4D47-8B3E</t>
  </si>
  <si>
    <t>hour</t>
  </si>
  <si>
    <t>Licensing Fee for Container-Optimized OS - PCID Whitelisted (RAM cost)</t>
  </si>
  <si>
    <t>3D41-4308-45C0</t>
  </si>
  <si>
    <t>Commitment v1: E2 Cpu in APAC for 1 Year</t>
  </si>
  <si>
    <t>472E-5955-4D82</t>
  </si>
  <si>
    <t>Licensing Fee for Google Container Engine Node (GPU cost)</t>
  </si>
  <si>
    <t>50F7-CAB7-DB8D</t>
  </si>
  <si>
    <t>Licensing Fee for Google Container Engine Node (RAM cost)</t>
  </si>
  <si>
    <t>5DEA-D962-E5F8</t>
  </si>
  <si>
    <t>Commitment v1: E2 Ram in APAC for 1 Year</t>
  </si>
  <si>
    <t>61AA-533A-DFDD</t>
  </si>
  <si>
    <t>Licensing Fee for Google Container Engine Node (CPU cost)</t>
  </si>
  <si>
    <t>6934-30E8-A65F</t>
  </si>
  <si>
    <t>Balanced PD Capacity</t>
  </si>
  <si>
    <t>6AE1-525F-8B80</t>
  </si>
  <si>
    <t>Network HTTP Load Balancing Data Transfer Out to Load Balancer</t>
  </si>
  <si>
    <t>6C67-1253-BB04</t>
  </si>
  <si>
    <t>Network HTTP Load Balancing Data Transfer In from Load Balancer</t>
  </si>
  <si>
    <t>761A-BA86-D467</t>
  </si>
  <si>
    <t>Licensing Fee for Container-Optimized OS - PCID Whitelisted (CPU cost)</t>
  </si>
  <si>
    <t>7927-E3EC-DBBC</t>
  </si>
  <si>
    <t>Licensing Fee for Shielded COS (CPU cost)</t>
  </si>
  <si>
    <t>8835-C41E-B3EA</t>
  </si>
  <si>
    <t>E2 Custom Instance Ram running in APAC</t>
  </si>
  <si>
    <t>8CA7-5B88-D299</t>
  </si>
  <si>
    <t>E2 Instance Core running in APAC</t>
  </si>
  <si>
    <t>92C8-7C92-6AEF</t>
  </si>
  <si>
    <t>Committed Use Discount Premium for E2 Custom Instance Ram running in Taiwan</t>
  </si>
  <si>
    <t>9C63-4FD3-7A02</t>
  </si>
  <si>
    <t>Network Intra Zone Data Transfer In</t>
  </si>
  <si>
    <t>9C76-A3FB-C60A</t>
  </si>
  <si>
    <t>ABD6-FF7B-A404</t>
  </si>
  <si>
    <t>Licensing Fee for Shielded COS (RAM cost)</t>
  </si>
  <si>
    <t>B0B5-6E19-13AE</t>
  </si>
  <si>
    <t>Network Data Transfer to Google Services from APAC to APAC</t>
  </si>
  <si>
    <t>B232-93AF-6910</t>
  </si>
  <si>
    <t>C268-6D50-D598</t>
  </si>
  <si>
    <t>Network Inter Zone Data Transfer In</t>
  </si>
  <si>
    <t>D0CC-50DF-59D2</t>
  </si>
  <si>
    <t>Licensing Fee for Container-Optimized OS from Google (GPU cost)</t>
  </si>
  <si>
    <t>D307-D26E-76BC</t>
  </si>
  <si>
    <t>DA21-2385-9025</t>
  </si>
  <si>
    <t>Network Inter Zone Data Transfer Out</t>
  </si>
  <si>
    <t>DE9E-AFBC-A15A</t>
  </si>
  <si>
    <t>Licensing Fee for Container-Optimized OS from Google (CPU cost)</t>
  </si>
  <si>
    <t>ECCC-9EE4-AEE4</t>
  </si>
  <si>
    <t>N2D AMD Instance Core running in APAC</t>
  </si>
  <si>
    <t>EF6C-66BA-C9C6</t>
  </si>
  <si>
    <t>E2 Custom Instance Core running in APAC</t>
  </si>
  <si>
    <t>F1F0-D469-8A46</t>
  </si>
  <si>
    <t>Licensing Fee for Container-Optimized OS from Google (RAM cost)</t>
  </si>
  <si>
    <t>F239-15CB-5B98</t>
  </si>
  <si>
    <t>Commitment - dollar based v1: GCE for 1 year</t>
  </si>
  <si>
    <t>F61D-4D51-AAFC</t>
  </si>
  <si>
    <t>FA27-F4A0-3EE3</t>
  </si>
  <si>
    <t>E2 Instance Ram running in APAC</t>
  </si>
  <si>
    <t>FD4D-A383-8DAB</t>
  </si>
  <si>
    <t>N2D AMD Instance Ram running in APAC</t>
  </si>
  <si>
    <t>FFF7-7A42-F2E8</t>
  </si>
  <si>
    <t>Certificate Manager</t>
  </si>
  <si>
    <t>7766-403C-6D6E</t>
  </si>
  <si>
    <t>Regional Certificates usage</t>
  </si>
  <si>
    <t>4B89-6413-74D9</t>
  </si>
  <si>
    <t>month</t>
  </si>
  <si>
    <t>Container Registry Vulnerability Scanning</t>
  </si>
  <si>
    <t>82AF-DE7A-51D0</t>
  </si>
  <si>
    <t>Cluster hours with Advanced Vulnerability Insights for GKE enabled</t>
  </si>
  <si>
    <t>2E09-3E0D-44B4</t>
  </si>
  <si>
    <t>Cloud Storage</t>
  </si>
  <si>
    <t>95FF-2EF5-5EA1</t>
  </si>
  <si>
    <t>Download APAC</t>
  </si>
  <si>
    <t>1F8B-71B0-3D1B</t>
  </si>
  <si>
    <t>Regional Standard Class A Operations</t>
  </si>
  <si>
    <t>4DBF-185F-A415</t>
  </si>
  <si>
    <t>Regional Standard Class B Operations</t>
  </si>
  <si>
    <t>7870-010B-2763</t>
  </si>
  <si>
    <t>Standard Storage Asia Regional</t>
  </si>
  <si>
    <t>BAE2-255B-64A7</t>
  </si>
  <si>
    <t>Cloud SQL</t>
  </si>
  <si>
    <t>9662-B51E-5089</t>
  </si>
  <si>
    <t>Network Inter Zone Data Transfer Out in APAC</t>
  </si>
  <si>
    <t>55F2-D22D-0EDD</t>
  </si>
  <si>
    <t>Cloud SQL for PostgreSQL: Regional - RAM in APAC</t>
  </si>
  <si>
    <t>6231-B986-8B22</t>
  </si>
  <si>
    <t>Storage PD Snapshot</t>
  </si>
  <si>
    <t>66AB-BA17-351C</t>
  </si>
  <si>
    <t>Commitment - dollar based v1: Cloud SQL database asia-east1 for 1 year</t>
  </si>
  <si>
    <t>CF8D-4BC1-B957</t>
  </si>
  <si>
    <t>Cloud SQL for PostgreSQL: Regional - Standard storage in APAC</t>
  </si>
  <si>
    <t>E790-2DB1-E5DC</t>
  </si>
  <si>
    <t>Cloud SQL for PostgreSQL: Regional - vCPU in APAC</t>
  </si>
  <si>
    <t>E7C7-FFB5-4789</t>
  </si>
  <si>
    <t>Cloud Pub/Sub</t>
  </si>
  <si>
    <t>A1E8-BE35-7EBC</t>
  </si>
  <si>
    <t>Message Delivery Basic</t>
  </si>
  <si>
    <t>027D-B6C7-CCA2</t>
  </si>
  <si>
    <t>tebibyte</t>
  </si>
  <si>
    <t>Intra-region data delivery</t>
  </si>
  <si>
    <t>460A-7826-0471</t>
  </si>
  <si>
    <t>Kubernetes Engine</t>
  </si>
  <si>
    <t>CCD8-9BF1-090E</t>
  </si>
  <si>
    <t>Regional Kubernetes Clusters</t>
  </si>
  <si>
    <t>B561-BFBD-1264</t>
  </si>
  <si>
    <t>Networking</t>
  </si>
  <si>
    <t>E505-1604-58F8</t>
  </si>
  <si>
    <t>Network Private Service Connect Google Managed Service GKE Consumer Data Processing Primary</t>
  </si>
  <si>
    <t>11AD-2790-7C4B</t>
  </si>
  <si>
    <t>Regional Internal Application Load Balancer Inbound Data Processing for Taiwan (asia-east1)</t>
  </si>
  <si>
    <t>4535-9267-B7AF</t>
  </si>
  <si>
    <t>Regional Internal Application Load Balancer Outbound Data Processing for Taiwan (asia-east1)</t>
  </si>
  <si>
    <t>81D8-CD8C-26D9</t>
  </si>
  <si>
    <t>Network Intelligence Center Network Analyzer Resource Hours</t>
  </si>
  <si>
    <t>9BF8-CD36-F9B8</t>
  </si>
  <si>
    <t>Network Intelligence Center Internet to Google Cloud Performance Resource Hours</t>
  </si>
  <si>
    <t>BDBA-22FA-3925</t>
  </si>
  <si>
    <t>Regional Internal Application Load Balancer Proxy Instance Charge for Taiwan (asia-east1)</t>
  </si>
  <si>
    <t>BFFE-5DD2-B25F</t>
  </si>
  <si>
    <t>Networking Private Service Connect Consumer Data Processing</t>
  </si>
  <si>
    <t>C40A-084F-09B4</t>
  </si>
  <si>
    <t>Networking Private Service Connect Interfaces Consumer Data Processing</t>
  </si>
  <si>
    <t>D5CA-A0B6-1971</t>
  </si>
  <si>
    <t>Network Intelligence Center Topology and Google Cloud Performance Resource Hours</t>
  </si>
  <si>
    <t>D9AD-28F8-05D8</t>
  </si>
  <si>
    <t>Cloud Key Management Service (KMS)</t>
  </si>
  <si>
    <t>EE2F-D110-890C</t>
  </si>
  <si>
    <t>Active HSM symmetric key versions</t>
  </si>
  <si>
    <t>46B1-C76A-0B7D</t>
  </si>
  <si>
    <t>HSM symmetric cryptographic operations</t>
  </si>
  <si>
    <t>A301-A092-05E7</t>
  </si>
  <si>
    <t>Secret Manager</t>
  </si>
  <si>
    <t>EE82-7A5E-871C</t>
  </si>
  <si>
    <t>Secret version replica storage</t>
  </si>
  <si>
    <t>7756-ADEF-84F4</t>
  </si>
  <si>
    <t>Secret access operations</t>
  </si>
  <si>
    <t>EBA7-264F-2D2C</t>
  </si>
  <si>
    <t>2026-03-07</t>
  </si>
  <si>
    <t>App Engine</t>
  </si>
  <si>
    <t>F17B-412E-CB64</t>
  </si>
  <si>
    <t>Cloud Firestore Read Ops Taiwan</t>
  </si>
  <si>
    <t>28B9-8D93-5BC1</t>
  </si>
  <si>
    <t>Cloud Firestore Read Ops Taiwan (named databases)</t>
  </si>
  <si>
    <t>432E-2B82-4134</t>
  </si>
  <si>
    <t>Cloud Firestore Entity Writes Taiwan</t>
  </si>
  <si>
    <t>4FC2-A968-7B7D</t>
  </si>
  <si>
    <t>Cloud Firestore TTL Deletes Taiwan</t>
  </si>
  <si>
    <t>639D-B398-34D1</t>
  </si>
  <si>
    <t>2026-03-28</t>
  </si>
  <si>
    <t>Cloud Firestore Point-in-time Recovery Storage Taiwan</t>
  </si>
  <si>
    <t>726F-BF8E-C906</t>
  </si>
  <si>
    <t>Cloud Firestore Storage Taiwan</t>
  </si>
  <si>
    <t>8979-BD7B-638C</t>
  </si>
  <si>
    <t>Cloud Firestore Internet Data Transfer Out from APAC to APAC</t>
  </si>
  <si>
    <t>CF48-7219-8480</t>
  </si>
  <si>
    <t>Cloud Firestore Small Ops Taiwan</t>
  </si>
  <si>
    <t>D6F0-6803-7417</t>
  </si>
  <si>
    <t>Cloud Dialogflow API</t>
  </si>
  <si>
    <t>FBC0-AA4A-C89A</t>
  </si>
  <si>
    <t>Text query operation for interacting with Dialogflow CX agents</t>
  </si>
  <si>
    <t>2DA2-9861-0744</t>
  </si>
  <si>
    <t>Text interactions with Vertex AI Conversation - Chat Experience</t>
  </si>
  <si>
    <t>90FE-6D2B-0AE1</t>
  </si>
  <si>
    <t>Security Command Center</t>
  </si>
  <si>
    <t>FBF2-FC68-171A</t>
  </si>
  <si>
    <t>Security Command Center Subscription Model Armor</t>
  </si>
  <si>
    <t>6C2C-82C7-C7E9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</si>
</sst>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\$#,##0.00"/>
    <numFmt numFmtId="177" formatCode="&quot;NT$&quot;#,##0"/>
    <numFmt numFmtId="178" formatCode="yyyy\-m\-d"/>
    <numFmt numFmtId="179" formatCode="yyyy\-mm\-dd"/>
    <numFmt numFmtId="180" formatCode="0.000000"/>
    <numFmt numFmtId="181" formatCode="&quot;NT$&quot;#,##0.00"/>
    <numFmt numFmtId="184" formatCode="#,##0.00_ "/>
  </numFmts>
  <fonts count="5" x14ac:knownFonts="1">
    <font>
      <sz val="11"/>
      <color rgb="FF000000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178" fontId="3" fillId="0" borderId="3" xfId="0" applyNumberFormat="1" applyFont="1" applyBorder="1" applyAlignment="1">
      <alignment horizontal="left"/>
    </xf>
    <xf numFmtId="179" fontId="3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180" fontId="3" fillId="0" borderId="3" xfId="0" applyNumberFormat="1" applyFont="1" applyBorder="1" applyAlignment="1">
      <alignment horizontal="right"/>
    </xf>
    <xf numFmtId="180" fontId="3" fillId="0" borderId="3" xfId="0" applyNumberFormat="1" applyFont="1" applyBorder="1"/>
    <xf numFmtId="10" fontId="3" fillId="0" borderId="3" xfId="0" applyNumberFormat="1" applyFont="1" applyBorder="1" applyAlignment="1">
      <alignment horizontal="right"/>
    </xf>
    <xf numFmtId="10" fontId="3" fillId="0" borderId="4" xfId="0" applyNumberFormat="1" applyFont="1" applyBorder="1" applyAlignment="1">
      <alignment horizontal="right"/>
    </xf>
    <xf numFmtId="10" fontId="3" fillId="0" borderId="5" xfId="0" applyNumberFormat="1" applyFont="1" applyBorder="1" applyAlignment="1">
      <alignment horizontal="right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left"/>
    </xf>
    <xf numFmtId="181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84" fontId="2" fillId="0" borderId="0" xfId="0" applyNumberFormat="1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1"/>
  <sheetViews>
    <sheetView tabSelected="1" topLeftCell="E1" workbookViewId="0">
      <selection activeCell="L7" sqref="L7"/>
    </sheetView>
  </sheetViews>
  <sheetFormatPr defaultColWidth="14.453125" defaultRowHeight="15" customHeight="1" x14ac:dyDescent="0.35"/>
  <cols>
    <col min="1" max="1" width="28.08984375" customWidth="1"/>
    <col min="2" max="4" width="18.26953125" customWidth="1"/>
    <col min="5" max="5" width="59.81640625" customWidth="1"/>
    <col min="6" max="6" width="18.453125" customWidth="1"/>
    <col min="7" max="8" width="17.54296875" customWidth="1"/>
    <col min="9" max="10" width="16.54296875" customWidth="1"/>
    <col min="11" max="11" width="20.81640625" customWidth="1"/>
    <col min="12" max="12" width="29" customWidth="1"/>
    <col min="13" max="13" width="29.08984375" customWidth="1"/>
    <col min="14" max="15" width="19.26953125" customWidth="1"/>
    <col min="16" max="17" width="28.453125" customWidth="1"/>
    <col min="18" max="19" width="17.453125" customWidth="1"/>
    <col min="20" max="22" width="16.81640625" customWidth="1"/>
  </cols>
  <sheetData>
    <row r="1" spans="1:22" ht="14.25" customHeight="1" x14ac:dyDescent="0.35"/>
    <row r="2" spans="1:22" ht="14.25" customHeight="1" x14ac:dyDescent="0.35">
      <c r="A2" s="16" t="s">
        <v>0</v>
      </c>
      <c r="B2" s="17"/>
    </row>
    <row r="3" spans="1:22" ht="14.25" customHeight="1" x14ac:dyDescent="0.35">
      <c r="A3" s="17"/>
      <c r="B3" s="17"/>
      <c r="F3" s="2" t="s">
        <v>1</v>
      </c>
      <c r="G3" s="2" t="s">
        <v>2</v>
      </c>
      <c r="H3" s="3">
        <v>13178.52</v>
      </c>
      <c r="I3" s="2"/>
      <c r="J3" s="22"/>
      <c r="K3" s="2"/>
      <c r="L3" s="2"/>
    </row>
    <row r="4" spans="1:22" ht="14.25" customHeight="1" x14ac:dyDescent="0.35">
      <c r="A4" s="1" t="s">
        <v>3</v>
      </c>
      <c r="B4" s="18" t="s">
        <v>4</v>
      </c>
      <c r="C4" s="17"/>
      <c r="D4" s="17"/>
      <c r="E4" s="17"/>
      <c r="F4" s="2" t="s">
        <v>5</v>
      </c>
      <c r="G4" s="2" t="s">
        <v>2</v>
      </c>
      <c r="H4" s="3">
        <v>12971.49</v>
      </c>
      <c r="I4" s="2"/>
      <c r="J4" s="22"/>
      <c r="K4" s="21"/>
      <c r="L4" s="2"/>
    </row>
    <row r="5" spans="1:22" ht="14.25" customHeight="1" x14ac:dyDescent="0.35">
      <c r="A5" s="1" t="s">
        <v>6</v>
      </c>
      <c r="B5" s="18"/>
      <c r="C5" s="17"/>
      <c r="D5" s="17"/>
      <c r="E5" s="17"/>
      <c r="F5" s="2" t="s">
        <v>7</v>
      </c>
      <c r="G5" s="2">
        <v>32.265000000000001</v>
      </c>
      <c r="H5" s="4">
        <v>418526</v>
      </c>
      <c r="I5" s="2"/>
      <c r="J5" s="4"/>
      <c r="K5" s="20"/>
      <c r="L5" s="2"/>
    </row>
    <row r="6" spans="1:22" ht="14.25" customHeight="1" x14ac:dyDescent="0.35">
      <c r="B6" s="18"/>
      <c r="C6" s="17"/>
      <c r="D6" s="17"/>
      <c r="E6" s="17"/>
      <c r="F6" s="2"/>
      <c r="G6" s="2"/>
      <c r="H6" s="4"/>
      <c r="I6" s="4"/>
      <c r="J6" s="2"/>
      <c r="K6" s="20"/>
      <c r="L6" s="2"/>
    </row>
    <row r="7" spans="1:22" ht="14.25" customHeight="1" x14ac:dyDescent="0.35">
      <c r="A7" s="1" t="s">
        <v>8</v>
      </c>
      <c r="B7" s="18"/>
      <c r="C7" s="17"/>
      <c r="D7" s="17"/>
      <c r="E7" s="17"/>
      <c r="F7" s="2"/>
      <c r="G7" s="2"/>
      <c r="H7" s="4"/>
      <c r="I7" s="2"/>
      <c r="J7" s="2"/>
      <c r="K7" s="20"/>
      <c r="L7" s="2"/>
    </row>
    <row r="8" spans="1:22" ht="14.25" customHeight="1" x14ac:dyDescent="0.35">
      <c r="A8" s="1" t="s">
        <v>9</v>
      </c>
      <c r="B8" s="18" t="s">
        <v>10</v>
      </c>
      <c r="C8" s="17"/>
      <c r="D8" s="17"/>
      <c r="E8" s="17"/>
      <c r="F8" s="2"/>
      <c r="G8" s="2"/>
      <c r="H8" s="4"/>
      <c r="I8" s="2"/>
      <c r="J8" s="2"/>
      <c r="K8" s="20"/>
      <c r="L8" s="2"/>
    </row>
    <row r="9" spans="1:22" ht="14.25" customHeight="1" x14ac:dyDescent="0.35">
      <c r="A9" s="1" t="s">
        <v>11</v>
      </c>
      <c r="B9" s="18" t="s">
        <v>12</v>
      </c>
      <c r="C9" s="17"/>
      <c r="D9" s="17"/>
      <c r="E9" s="17"/>
      <c r="F9" s="2" t="s">
        <v>13</v>
      </c>
      <c r="G9" s="2" t="s">
        <v>14</v>
      </c>
      <c r="H9" s="4">
        <v>20926</v>
      </c>
      <c r="I9" s="19"/>
      <c r="J9" s="4"/>
      <c r="K9" s="20"/>
      <c r="L9" s="2"/>
    </row>
    <row r="10" spans="1:22" ht="14.25" customHeight="1" x14ac:dyDescent="0.35">
      <c r="A10" s="1" t="s">
        <v>15</v>
      </c>
      <c r="F10" s="2" t="s">
        <v>16</v>
      </c>
      <c r="G10" s="2" t="s">
        <v>17</v>
      </c>
      <c r="H10" s="4">
        <v>439452</v>
      </c>
      <c r="I10" s="4"/>
      <c r="J10" s="4"/>
      <c r="K10" s="20"/>
      <c r="L10" s="2"/>
    </row>
    <row r="11" spans="1:22" ht="14.25" customHeight="1" x14ac:dyDescent="0.35"/>
    <row r="12" spans="1:22" ht="14.5" x14ac:dyDescent="0.35">
      <c r="A12" s="5" t="s">
        <v>18</v>
      </c>
      <c r="B12" s="5" t="s">
        <v>19</v>
      </c>
      <c r="C12" s="5" t="s">
        <v>20</v>
      </c>
      <c r="D12" s="5" t="s">
        <v>21</v>
      </c>
      <c r="E12" s="5" t="s">
        <v>22</v>
      </c>
      <c r="F12" s="5" t="s">
        <v>23</v>
      </c>
      <c r="G12" s="5" t="s">
        <v>24</v>
      </c>
      <c r="H12" s="5" t="s">
        <v>25</v>
      </c>
      <c r="I12" s="5" t="s">
        <v>26</v>
      </c>
      <c r="J12" s="5" t="s">
        <v>27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5" t="s">
        <v>33</v>
      </c>
      <c r="Q12" s="5" t="s">
        <v>34</v>
      </c>
      <c r="R12" s="5" t="s">
        <v>35</v>
      </c>
      <c r="S12" s="5" t="s">
        <v>36</v>
      </c>
      <c r="T12" s="5" t="s">
        <v>37</v>
      </c>
      <c r="U12" s="5" t="s">
        <v>38</v>
      </c>
      <c r="V12" s="5" t="s">
        <v>39</v>
      </c>
    </row>
    <row r="13" spans="1:22" ht="14.25" customHeight="1" x14ac:dyDescent="0.35">
      <c r="A13" s="6" t="s">
        <v>40</v>
      </c>
      <c r="B13" s="7" t="s">
        <v>41</v>
      </c>
      <c r="C13" s="7" t="s">
        <v>42</v>
      </c>
      <c r="D13" s="7" t="s">
        <v>43</v>
      </c>
      <c r="E13" s="7" t="s">
        <v>44</v>
      </c>
      <c r="F13" s="7" t="s">
        <v>45</v>
      </c>
      <c r="G13" s="8">
        <v>46050</v>
      </c>
      <c r="H13" s="9">
        <v>46053</v>
      </c>
      <c r="I13" s="10">
        <v>0</v>
      </c>
      <c r="J13" s="7" t="s">
        <v>46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2">
        <v>138.67833300000001</v>
      </c>
      <c r="S13" s="12">
        <v>134.10194799999999</v>
      </c>
      <c r="T13" s="13">
        <v>0.14000000000000001</v>
      </c>
      <c r="U13" s="13">
        <v>3.3000000000000002E-2</v>
      </c>
      <c r="V13" s="14">
        <v>0.16839999999999999</v>
      </c>
    </row>
    <row r="14" spans="1:22" ht="14.25" customHeight="1" x14ac:dyDescent="0.35">
      <c r="A14" s="6" t="s">
        <v>47</v>
      </c>
      <c r="B14" s="7" t="s">
        <v>48</v>
      </c>
      <c r="C14" s="7" t="s">
        <v>42</v>
      </c>
      <c r="D14" s="7" t="s">
        <v>43</v>
      </c>
      <c r="E14" s="7" t="s">
        <v>44</v>
      </c>
      <c r="F14" s="7" t="s">
        <v>45</v>
      </c>
      <c r="G14" s="8">
        <v>46050</v>
      </c>
      <c r="H14" s="9">
        <v>46053</v>
      </c>
      <c r="I14" s="10">
        <v>0</v>
      </c>
      <c r="J14" s="7" t="s">
        <v>46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2">
        <v>138.67833300000001</v>
      </c>
      <c r="S14" s="12">
        <v>134.10194799999999</v>
      </c>
      <c r="T14" s="13">
        <v>0.14000000000000001</v>
      </c>
      <c r="U14" s="13">
        <v>3.3000000000000002E-2</v>
      </c>
      <c r="V14" s="13">
        <v>0.16839999999999999</v>
      </c>
    </row>
    <row r="15" spans="1:22" ht="14.25" customHeight="1" x14ac:dyDescent="0.35">
      <c r="A15" s="6" t="s">
        <v>49</v>
      </c>
      <c r="B15" s="7" t="s">
        <v>50</v>
      </c>
      <c r="C15" s="7" t="s">
        <v>42</v>
      </c>
      <c r="D15" s="7" t="s">
        <v>43</v>
      </c>
      <c r="E15" s="7" t="s">
        <v>44</v>
      </c>
      <c r="F15" s="7" t="s">
        <v>45</v>
      </c>
      <c r="G15" s="8">
        <v>46050</v>
      </c>
      <c r="H15" s="9">
        <v>46053</v>
      </c>
      <c r="I15" s="10">
        <v>0</v>
      </c>
      <c r="J15" s="7" t="s">
        <v>46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2">
        <v>138.67833300000001</v>
      </c>
      <c r="S15" s="12">
        <v>134.10194799999999</v>
      </c>
      <c r="T15" s="13">
        <v>0.14000000000000001</v>
      </c>
      <c r="U15" s="13">
        <v>3.3000000000000002E-2</v>
      </c>
      <c r="V15" s="13">
        <v>0.16839999999999999</v>
      </c>
    </row>
    <row r="16" spans="1:22" ht="14.25" customHeight="1" x14ac:dyDescent="0.35">
      <c r="A16" s="6"/>
      <c r="B16" s="7"/>
      <c r="C16" s="7"/>
      <c r="D16" s="7"/>
      <c r="E16" s="7" t="s">
        <v>51</v>
      </c>
      <c r="F16" s="7"/>
      <c r="G16" s="8">
        <v>46054</v>
      </c>
      <c r="H16" s="9">
        <v>46081</v>
      </c>
      <c r="I16" s="10"/>
      <c r="J16" s="7"/>
      <c r="K16" s="11"/>
      <c r="L16" s="11"/>
      <c r="M16" s="11"/>
      <c r="N16" s="11"/>
      <c r="O16" s="11"/>
      <c r="P16" s="11"/>
      <c r="Q16" s="11"/>
      <c r="R16" s="12">
        <v>3600</v>
      </c>
      <c r="S16" s="12">
        <v>3600</v>
      </c>
      <c r="T16" s="13"/>
      <c r="U16" s="13"/>
      <c r="V16" s="13"/>
    </row>
    <row r="17" spans="1:22" ht="14.25" customHeight="1" x14ac:dyDescent="0.35">
      <c r="A17" s="6"/>
      <c r="B17" s="7"/>
      <c r="C17" s="7"/>
      <c r="D17" s="7"/>
      <c r="E17" s="7" t="s">
        <v>52</v>
      </c>
      <c r="F17" s="7"/>
      <c r="G17" s="8">
        <v>46082</v>
      </c>
      <c r="H17" s="9">
        <v>46112</v>
      </c>
      <c r="I17" s="10"/>
      <c r="J17" s="7"/>
      <c r="K17" s="11"/>
      <c r="L17" s="11"/>
      <c r="M17" s="11"/>
      <c r="N17" s="11"/>
      <c r="O17" s="11"/>
      <c r="P17" s="11"/>
      <c r="Q17" s="11"/>
      <c r="R17" s="12">
        <v>3600</v>
      </c>
      <c r="S17" s="12">
        <v>3600</v>
      </c>
      <c r="T17" s="13"/>
      <c r="U17" s="13"/>
      <c r="V17" s="13"/>
    </row>
    <row r="18" spans="1:22" ht="14.25" customHeight="1" x14ac:dyDescent="0.35">
      <c r="A18" s="6"/>
      <c r="B18" s="7"/>
      <c r="C18" s="7"/>
      <c r="D18" s="7"/>
      <c r="E18" s="7" t="s">
        <v>53</v>
      </c>
      <c r="F18" s="7"/>
      <c r="G18" s="8">
        <v>46113</v>
      </c>
      <c r="H18" s="9">
        <v>46142</v>
      </c>
      <c r="I18" s="10"/>
      <c r="J18" s="7"/>
      <c r="K18" s="11"/>
      <c r="L18" s="11"/>
      <c r="M18" s="11"/>
      <c r="N18" s="11"/>
      <c r="O18" s="11"/>
      <c r="P18" s="11"/>
      <c r="Q18" s="11"/>
      <c r="R18" s="12">
        <v>3600</v>
      </c>
      <c r="S18" s="12">
        <v>3600</v>
      </c>
      <c r="T18" s="13"/>
      <c r="U18" s="13"/>
      <c r="V18" s="13"/>
    </row>
    <row r="19" spans="1:22" ht="14.25" customHeight="1" x14ac:dyDescent="0.35">
      <c r="A19" s="6" t="s">
        <v>47</v>
      </c>
      <c r="B19" s="7" t="s">
        <v>48</v>
      </c>
      <c r="C19" s="7" t="s">
        <v>54</v>
      </c>
      <c r="D19" s="7" t="s">
        <v>55</v>
      </c>
      <c r="E19" s="7" t="s">
        <v>56</v>
      </c>
      <c r="F19" s="7" t="s">
        <v>57</v>
      </c>
      <c r="G19" s="7" t="s">
        <v>58</v>
      </c>
      <c r="H19" s="7" t="s">
        <v>59</v>
      </c>
      <c r="I19" s="10">
        <v>6</v>
      </c>
      <c r="J19" s="7" t="s">
        <v>46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2.0639999999999999E-2</v>
      </c>
      <c r="S19" s="11">
        <v>1.9959000000000001E-2</v>
      </c>
      <c r="T19" s="13">
        <v>0.14000000000000001</v>
      </c>
      <c r="U19" s="13">
        <v>3.3000000000000002E-2</v>
      </c>
      <c r="V19" s="15">
        <v>0.16839999999999999</v>
      </c>
    </row>
    <row r="20" spans="1:22" ht="14.25" customHeight="1" x14ac:dyDescent="0.35">
      <c r="A20" s="6" t="s">
        <v>47</v>
      </c>
      <c r="B20" s="7" t="s">
        <v>48</v>
      </c>
      <c r="C20" s="7" t="s">
        <v>54</v>
      </c>
      <c r="D20" s="7" t="s">
        <v>55</v>
      </c>
      <c r="E20" s="7" t="s">
        <v>60</v>
      </c>
      <c r="F20" s="7" t="s">
        <v>61</v>
      </c>
      <c r="G20" s="7" t="s">
        <v>58</v>
      </c>
      <c r="H20" s="7" t="s">
        <v>59</v>
      </c>
      <c r="I20" s="10">
        <v>28</v>
      </c>
      <c r="J20" s="7" t="s">
        <v>46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3">
        <v>0.14000000000000001</v>
      </c>
      <c r="U20" s="13">
        <v>3.3000000000000002E-2</v>
      </c>
      <c r="V20" s="15">
        <v>0.16839999999999999</v>
      </c>
    </row>
    <row r="21" spans="1:22" ht="14.25" customHeight="1" x14ac:dyDescent="0.35">
      <c r="A21" s="6" t="s">
        <v>47</v>
      </c>
      <c r="B21" s="7" t="s">
        <v>48</v>
      </c>
      <c r="C21" s="7" t="s">
        <v>54</v>
      </c>
      <c r="D21" s="7" t="s">
        <v>55</v>
      </c>
      <c r="E21" s="7" t="s">
        <v>62</v>
      </c>
      <c r="F21" s="7" t="s">
        <v>63</v>
      </c>
      <c r="G21" s="7" t="s">
        <v>64</v>
      </c>
      <c r="H21" s="7" t="s">
        <v>65</v>
      </c>
      <c r="I21" s="10">
        <v>60.372999999999998</v>
      </c>
      <c r="J21" s="7" t="s">
        <v>66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248.096969</v>
      </c>
      <c r="S21" s="11">
        <v>239.90976900000001</v>
      </c>
      <c r="T21" s="13">
        <v>0.14000000000000001</v>
      </c>
      <c r="U21" s="13">
        <v>3.3000000000000002E-2</v>
      </c>
      <c r="V21" s="15">
        <v>0.16839999999999999</v>
      </c>
    </row>
    <row r="22" spans="1:22" ht="14.25" customHeight="1" x14ac:dyDescent="0.35">
      <c r="A22" s="6" t="s">
        <v>49</v>
      </c>
      <c r="B22" s="7" t="s">
        <v>50</v>
      </c>
      <c r="C22" s="7" t="s">
        <v>54</v>
      </c>
      <c r="D22" s="7" t="s">
        <v>55</v>
      </c>
      <c r="E22" s="7" t="s">
        <v>62</v>
      </c>
      <c r="F22" s="7" t="s">
        <v>63</v>
      </c>
      <c r="G22" s="7" t="s">
        <v>64</v>
      </c>
      <c r="H22" s="7" t="s">
        <v>65</v>
      </c>
      <c r="I22" s="10">
        <v>82.587000000000003</v>
      </c>
      <c r="J22" s="7" t="s">
        <v>66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339.63454899999999</v>
      </c>
      <c r="S22" s="11">
        <v>328.42660899999998</v>
      </c>
      <c r="T22" s="13">
        <v>0.14000000000000001</v>
      </c>
      <c r="U22" s="13">
        <v>3.3000000000000002E-2</v>
      </c>
      <c r="V22" s="15">
        <v>0.16839999999999999</v>
      </c>
    </row>
    <row r="23" spans="1:22" ht="14.25" customHeight="1" x14ac:dyDescent="0.35">
      <c r="A23" s="6" t="s">
        <v>40</v>
      </c>
      <c r="B23" s="7" t="s">
        <v>41</v>
      </c>
      <c r="C23" s="7" t="s">
        <v>54</v>
      </c>
      <c r="D23" s="7" t="s">
        <v>55</v>
      </c>
      <c r="E23" s="7" t="s">
        <v>62</v>
      </c>
      <c r="F23" s="7" t="s">
        <v>63</v>
      </c>
      <c r="G23" s="7" t="s">
        <v>64</v>
      </c>
      <c r="H23" s="7" t="s">
        <v>65</v>
      </c>
      <c r="I23" s="10">
        <v>77.019000000000005</v>
      </c>
      <c r="J23" s="7" t="s">
        <v>66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315.17689999999999</v>
      </c>
      <c r="S23" s="11">
        <v>304.77606200000002</v>
      </c>
      <c r="T23" s="13">
        <v>0.14000000000000001</v>
      </c>
      <c r="U23" s="13">
        <v>3.3000000000000002E-2</v>
      </c>
      <c r="V23" s="15">
        <v>0.16839999999999999</v>
      </c>
    </row>
    <row r="24" spans="1:22" ht="14.25" customHeight="1" x14ac:dyDescent="0.35">
      <c r="A24" s="6" t="s">
        <v>67</v>
      </c>
      <c r="B24" s="7" t="s">
        <v>68</v>
      </c>
      <c r="C24" s="7" t="s">
        <v>69</v>
      </c>
      <c r="D24" s="7" t="s">
        <v>70</v>
      </c>
      <c r="E24" s="7" t="s">
        <v>71</v>
      </c>
      <c r="F24" s="7" t="s">
        <v>72</v>
      </c>
      <c r="G24" s="7" t="s">
        <v>73</v>
      </c>
      <c r="H24" s="7" t="s">
        <v>65</v>
      </c>
      <c r="I24" s="10">
        <v>486742</v>
      </c>
      <c r="J24" s="7" t="s">
        <v>46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1.460226</v>
      </c>
      <c r="S24" s="11">
        <v>1.460226</v>
      </c>
      <c r="T24" s="13">
        <v>0</v>
      </c>
      <c r="U24" s="13">
        <v>0</v>
      </c>
      <c r="V24" s="15">
        <v>0</v>
      </c>
    </row>
    <row r="25" spans="1:22" ht="14.25" customHeight="1" x14ac:dyDescent="0.35">
      <c r="A25" s="6" t="s">
        <v>74</v>
      </c>
      <c r="B25" s="7" t="s">
        <v>75</v>
      </c>
      <c r="C25" s="7" t="s">
        <v>69</v>
      </c>
      <c r="D25" s="7" t="s">
        <v>70</v>
      </c>
      <c r="E25" s="7" t="s">
        <v>71</v>
      </c>
      <c r="F25" s="7" t="s">
        <v>72</v>
      </c>
      <c r="G25" s="7" t="s">
        <v>76</v>
      </c>
      <c r="H25" s="7" t="s">
        <v>77</v>
      </c>
      <c r="I25" s="10">
        <v>1902</v>
      </c>
      <c r="J25" s="7" t="s">
        <v>46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5.7060000000000001E-3</v>
      </c>
      <c r="S25" s="11">
        <v>5.7060000000000001E-3</v>
      </c>
      <c r="T25" s="13">
        <v>0</v>
      </c>
      <c r="U25" s="13">
        <v>0</v>
      </c>
      <c r="V25" s="15">
        <v>0</v>
      </c>
    </row>
    <row r="26" spans="1:22" ht="14.25" customHeight="1" x14ac:dyDescent="0.35">
      <c r="A26" s="6" t="s">
        <v>78</v>
      </c>
      <c r="B26" s="7" t="s">
        <v>79</v>
      </c>
      <c r="C26" s="7" t="s">
        <v>69</v>
      </c>
      <c r="D26" s="7" t="s">
        <v>70</v>
      </c>
      <c r="E26" s="7" t="s">
        <v>80</v>
      </c>
      <c r="F26" s="7" t="s">
        <v>81</v>
      </c>
      <c r="G26" s="7" t="s">
        <v>82</v>
      </c>
      <c r="H26" s="7" t="s">
        <v>65</v>
      </c>
      <c r="I26" s="10">
        <v>6420.8</v>
      </c>
      <c r="J26" s="7" t="s">
        <v>83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3">
        <v>0.14000000000000001</v>
      </c>
      <c r="U26" s="13">
        <v>3.3000000000000002E-2</v>
      </c>
      <c r="V26" s="15">
        <v>0.16839999999999999</v>
      </c>
    </row>
    <row r="27" spans="1:22" ht="14.25" customHeight="1" x14ac:dyDescent="0.35">
      <c r="A27" s="6" t="s">
        <v>74</v>
      </c>
      <c r="B27" s="7" t="s">
        <v>75</v>
      </c>
      <c r="C27" s="7" t="s">
        <v>69</v>
      </c>
      <c r="D27" s="7" t="s">
        <v>70</v>
      </c>
      <c r="E27" s="7" t="s">
        <v>84</v>
      </c>
      <c r="F27" s="7" t="s">
        <v>85</v>
      </c>
      <c r="G27" s="7" t="s">
        <v>86</v>
      </c>
      <c r="H27" s="7" t="s">
        <v>87</v>
      </c>
      <c r="I27" s="10">
        <v>313067</v>
      </c>
      <c r="J27" s="7" t="s">
        <v>46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4.6960050000000004</v>
      </c>
      <c r="S27" s="11">
        <v>4.6960050000000004</v>
      </c>
      <c r="T27" s="13">
        <v>0</v>
      </c>
      <c r="U27" s="13">
        <v>0</v>
      </c>
      <c r="V27" s="15">
        <v>0</v>
      </c>
    </row>
    <row r="28" spans="1:22" ht="14.25" customHeight="1" x14ac:dyDescent="0.35">
      <c r="A28" s="6" t="s">
        <v>78</v>
      </c>
      <c r="B28" s="7" t="s">
        <v>79</v>
      </c>
      <c r="C28" s="7" t="s">
        <v>69</v>
      </c>
      <c r="D28" s="7" t="s">
        <v>70</v>
      </c>
      <c r="E28" s="7" t="s">
        <v>88</v>
      </c>
      <c r="F28" s="7" t="s">
        <v>89</v>
      </c>
      <c r="G28" s="7" t="s">
        <v>82</v>
      </c>
      <c r="H28" s="7" t="s">
        <v>65</v>
      </c>
      <c r="I28" s="10">
        <v>271</v>
      </c>
      <c r="J28" s="7" t="s">
        <v>46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5.8264999999999997E-2</v>
      </c>
      <c r="S28" s="11">
        <v>5.6342000000000003E-2</v>
      </c>
      <c r="T28" s="13">
        <v>0.14000000000000001</v>
      </c>
      <c r="U28" s="13">
        <v>3.3000000000000002E-2</v>
      </c>
      <c r="V28" s="15">
        <v>0.16839999999999999</v>
      </c>
    </row>
    <row r="29" spans="1:22" ht="14.25" customHeight="1" x14ac:dyDescent="0.35">
      <c r="A29" s="6" t="s">
        <v>90</v>
      </c>
      <c r="B29" s="7" t="s">
        <v>91</v>
      </c>
      <c r="C29" s="7" t="s">
        <v>69</v>
      </c>
      <c r="D29" s="7" t="s">
        <v>70</v>
      </c>
      <c r="E29" s="7" t="s">
        <v>92</v>
      </c>
      <c r="F29" s="7" t="s">
        <v>93</v>
      </c>
      <c r="G29" s="7" t="s">
        <v>86</v>
      </c>
      <c r="H29" s="7" t="s">
        <v>94</v>
      </c>
      <c r="I29" s="10">
        <v>40</v>
      </c>
      <c r="J29" s="7" t="s">
        <v>46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5.0000000000000004E-6</v>
      </c>
      <c r="S29" s="11">
        <v>5.0000000000000004E-6</v>
      </c>
      <c r="T29" s="13">
        <v>0</v>
      </c>
      <c r="U29" s="13">
        <v>0</v>
      </c>
      <c r="V29" s="15">
        <v>0</v>
      </c>
    </row>
    <row r="30" spans="1:22" ht="14.25" customHeight="1" x14ac:dyDescent="0.35">
      <c r="A30" s="6" t="s">
        <v>74</v>
      </c>
      <c r="B30" s="7" t="s">
        <v>75</v>
      </c>
      <c r="C30" s="7" t="s">
        <v>69</v>
      </c>
      <c r="D30" s="7" t="s">
        <v>70</v>
      </c>
      <c r="E30" s="7" t="s">
        <v>92</v>
      </c>
      <c r="F30" s="7" t="s">
        <v>93</v>
      </c>
      <c r="G30" s="7" t="s">
        <v>76</v>
      </c>
      <c r="H30" s="7" t="s">
        <v>95</v>
      </c>
      <c r="I30" s="10">
        <v>251</v>
      </c>
      <c r="J30" s="7" t="s">
        <v>46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3.4E-5</v>
      </c>
      <c r="S30" s="11">
        <v>3.4E-5</v>
      </c>
      <c r="T30" s="13">
        <v>0</v>
      </c>
      <c r="U30" s="13">
        <v>0</v>
      </c>
      <c r="V30" s="15">
        <v>0</v>
      </c>
    </row>
    <row r="31" spans="1:22" ht="14.25" customHeight="1" x14ac:dyDescent="0.35">
      <c r="A31" s="6" t="s">
        <v>96</v>
      </c>
      <c r="B31" s="7" t="s">
        <v>79</v>
      </c>
      <c r="C31" s="7" t="s">
        <v>69</v>
      </c>
      <c r="D31" s="7" t="s">
        <v>70</v>
      </c>
      <c r="E31" s="7" t="s">
        <v>92</v>
      </c>
      <c r="F31" s="7" t="s">
        <v>93</v>
      </c>
      <c r="G31" s="7" t="s">
        <v>73</v>
      </c>
      <c r="H31" s="7" t="s">
        <v>73</v>
      </c>
      <c r="I31" s="10">
        <v>305</v>
      </c>
      <c r="J31" s="7" t="s">
        <v>46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4.5000000000000003E-5</v>
      </c>
      <c r="S31" s="11">
        <v>4.5000000000000003E-5</v>
      </c>
      <c r="T31" s="13">
        <v>0</v>
      </c>
      <c r="U31" s="13">
        <v>0</v>
      </c>
      <c r="V31" s="15">
        <v>0</v>
      </c>
    </row>
    <row r="32" spans="1:22" ht="14.25" customHeight="1" x14ac:dyDescent="0.35">
      <c r="A32" s="6" t="s">
        <v>97</v>
      </c>
      <c r="B32" s="7" t="s">
        <v>98</v>
      </c>
      <c r="C32" s="7" t="s">
        <v>69</v>
      </c>
      <c r="D32" s="7" t="s">
        <v>70</v>
      </c>
      <c r="E32" s="7" t="s">
        <v>92</v>
      </c>
      <c r="F32" s="7" t="s">
        <v>93</v>
      </c>
      <c r="G32" s="7" t="s">
        <v>99</v>
      </c>
      <c r="H32" s="7" t="s">
        <v>95</v>
      </c>
      <c r="I32" s="10">
        <v>6792932439</v>
      </c>
      <c r="J32" s="7" t="s">
        <v>46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1018.939259</v>
      </c>
      <c r="S32" s="11">
        <v>1018.939259</v>
      </c>
      <c r="T32" s="13">
        <v>0</v>
      </c>
      <c r="U32" s="13">
        <v>0</v>
      </c>
      <c r="V32" s="15">
        <v>0</v>
      </c>
    </row>
    <row r="33" spans="1:22" ht="14.25" customHeight="1" x14ac:dyDescent="0.35">
      <c r="A33" s="6" t="s">
        <v>49</v>
      </c>
      <c r="B33" s="7" t="s">
        <v>50</v>
      </c>
      <c r="C33" s="7" t="s">
        <v>69</v>
      </c>
      <c r="D33" s="7" t="s">
        <v>70</v>
      </c>
      <c r="E33" s="7" t="s">
        <v>100</v>
      </c>
      <c r="F33" s="7" t="s">
        <v>101</v>
      </c>
      <c r="G33" s="7" t="s">
        <v>102</v>
      </c>
      <c r="H33" s="7" t="s">
        <v>103</v>
      </c>
      <c r="I33" s="10">
        <v>2</v>
      </c>
      <c r="J33" s="7" t="s">
        <v>46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3">
        <v>0.14000000000000001</v>
      </c>
      <c r="U33" s="13">
        <v>3.3000000000000002E-2</v>
      </c>
      <c r="V33" s="15">
        <v>0.16839999999999999</v>
      </c>
    </row>
    <row r="34" spans="1:22" ht="14.25" customHeight="1" x14ac:dyDescent="0.35">
      <c r="A34" s="6" t="s">
        <v>90</v>
      </c>
      <c r="B34" s="7" t="s">
        <v>91</v>
      </c>
      <c r="C34" s="7" t="s">
        <v>69</v>
      </c>
      <c r="D34" s="7" t="s">
        <v>70</v>
      </c>
      <c r="E34" s="7" t="s">
        <v>104</v>
      </c>
      <c r="F34" s="7" t="s">
        <v>105</v>
      </c>
      <c r="G34" s="7" t="s">
        <v>82</v>
      </c>
      <c r="H34" s="7" t="s">
        <v>82</v>
      </c>
      <c r="I34" s="10">
        <v>65900</v>
      </c>
      <c r="J34" s="7" t="s">
        <v>46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0.79079999999999995</v>
      </c>
      <c r="S34" s="11">
        <v>0.79079999999999995</v>
      </c>
      <c r="T34" s="13">
        <v>0</v>
      </c>
      <c r="U34" s="13">
        <v>0</v>
      </c>
      <c r="V34" s="15">
        <v>0</v>
      </c>
    </row>
    <row r="35" spans="1:22" ht="14.25" customHeight="1" x14ac:dyDescent="0.35">
      <c r="A35" s="6" t="s">
        <v>74</v>
      </c>
      <c r="B35" s="7" t="s">
        <v>75</v>
      </c>
      <c r="C35" s="7" t="s">
        <v>69</v>
      </c>
      <c r="D35" s="7" t="s">
        <v>70</v>
      </c>
      <c r="E35" s="7" t="s">
        <v>104</v>
      </c>
      <c r="F35" s="7" t="s">
        <v>105</v>
      </c>
      <c r="G35" s="7" t="s">
        <v>76</v>
      </c>
      <c r="H35" s="7" t="s">
        <v>87</v>
      </c>
      <c r="I35" s="10">
        <v>2624</v>
      </c>
      <c r="J35" s="7" t="s">
        <v>46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3.1488000000000002E-2</v>
      </c>
      <c r="S35" s="11">
        <v>3.1488000000000002E-2</v>
      </c>
      <c r="T35" s="13">
        <v>0</v>
      </c>
      <c r="U35" s="13">
        <v>0</v>
      </c>
      <c r="V35" s="15">
        <v>0</v>
      </c>
    </row>
    <row r="36" spans="1:22" ht="14.25" customHeight="1" x14ac:dyDescent="0.35">
      <c r="A36" s="6" t="s">
        <v>106</v>
      </c>
      <c r="B36" s="7" t="s">
        <v>107</v>
      </c>
      <c r="C36" s="7" t="s">
        <v>69</v>
      </c>
      <c r="D36" s="7" t="s">
        <v>70</v>
      </c>
      <c r="E36" s="7" t="s">
        <v>104</v>
      </c>
      <c r="F36" s="7" t="s">
        <v>105</v>
      </c>
      <c r="G36" s="7" t="s">
        <v>65</v>
      </c>
      <c r="H36" s="7" t="s">
        <v>65</v>
      </c>
      <c r="I36" s="10">
        <v>1194</v>
      </c>
      <c r="J36" s="7" t="s">
        <v>46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1.4328E-2</v>
      </c>
      <c r="S36" s="11">
        <v>1.4328E-2</v>
      </c>
      <c r="T36" s="13">
        <v>0</v>
      </c>
      <c r="U36" s="13">
        <v>0</v>
      </c>
      <c r="V36" s="15">
        <v>0</v>
      </c>
    </row>
    <row r="37" spans="1:22" ht="14.25" customHeight="1" x14ac:dyDescent="0.35">
      <c r="A37" s="6" t="s">
        <v>67</v>
      </c>
      <c r="B37" s="7" t="s">
        <v>68</v>
      </c>
      <c r="C37" s="7" t="s">
        <v>69</v>
      </c>
      <c r="D37" s="7" t="s">
        <v>70</v>
      </c>
      <c r="E37" s="7" t="s">
        <v>104</v>
      </c>
      <c r="F37" s="7" t="s">
        <v>105</v>
      </c>
      <c r="G37" s="7" t="s">
        <v>73</v>
      </c>
      <c r="H37" s="7" t="s">
        <v>65</v>
      </c>
      <c r="I37" s="10">
        <v>1472836</v>
      </c>
      <c r="J37" s="7" t="s">
        <v>46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17.674032</v>
      </c>
      <c r="S37" s="11">
        <v>17.674032</v>
      </c>
      <c r="T37" s="13">
        <v>0</v>
      </c>
      <c r="U37" s="13">
        <v>0</v>
      </c>
      <c r="V37" s="15">
        <v>0</v>
      </c>
    </row>
    <row r="38" spans="1:22" ht="14.25" customHeight="1" x14ac:dyDescent="0.35">
      <c r="A38" s="6" t="s">
        <v>49</v>
      </c>
      <c r="B38" s="7" t="s">
        <v>50</v>
      </c>
      <c r="C38" s="7" t="s">
        <v>69</v>
      </c>
      <c r="D38" s="7" t="s">
        <v>70</v>
      </c>
      <c r="E38" s="7" t="s">
        <v>104</v>
      </c>
      <c r="F38" s="7" t="s">
        <v>105</v>
      </c>
      <c r="G38" s="7" t="s">
        <v>102</v>
      </c>
      <c r="H38" s="7" t="s">
        <v>103</v>
      </c>
      <c r="I38" s="10">
        <v>4191</v>
      </c>
      <c r="J38" s="7" t="s">
        <v>46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5.0292000000000003E-2</v>
      </c>
      <c r="S38" s="11">
        <v>5.0292000000000003E-2</v>
      </c>
      <c r="T38" s="13">
        <v>0</v>
      </c>
      <c r="U38" s="13">
        <v>0</v>
      </c>
      <c r="V38" s="15">
        <v>0</v>
      </c>
    </row>
    <row r="39" spans="1:22" ht="14.25" customHeight="1" x14ac:dyDescent="0.35">
      <c r="A39" s="6" t="s">
        <v>67</v>
      </c>
      <c r="B39" s="7" t="s">
        <v>68</v>
      </c>
      <c r="C39" s="7" t="s">
        <v>69</v>
      </c>
      <c r="D39" s="7" t="s">
        <v>70</v>
      </c>
      <c r="E39" s="7" t="s">
        <v>108</v>
      </c>
      <c r="F39" s="7" t="s">
        <v>109</v>
      </c>
      <c r="G39" s="7" t="s">
        <v>103</v>
      </c>
      <c r="H39" s="7" t="s">
        <v>110</v>
      </c>
      <c r="I39" s="10">
        <v>16780</v>
      </c>
      <c r="J39" s="7" t="s">
        <v>46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6.692E-3</v>
      </c>
      <c r="S39" s="11">
        <v>6.692E-3</v>
      </c>
      <c r="T39" s="13">
        <v>0</v>
      </c>
      <c r="U39" s="13">
        <v>0</v>
      </c>
      <c r="V39" s="15">
        <v>0</v>
      </c>
    </row>
    <row r="40" spans="1:22" ht="14.25" customHeight="1" x14ac:dyDescent="0.35">
      <c r="A40" s="6" t="s">
        <v>97</v>
      </c>
      <c r="B40" s="7" t="s">
        <v>98</v>
      </c>
      <c r="C40" s="7" t="s">
        <v>69</v>
      </c>
      <c r="D40" s="7" t="s">
        <v>70</v>
      </c>
      <c r="E40" s="7" t="s">
        <v>108</v>
      </c>
      <c r="F40" s="7" t="s">
        <v>109</v>
      </c>
      <c r="G40" s="7" t="s">
        <v>94</v>
      </c>
      <c r="H40" s="7" t="s">
        <v>111</v>
      </c>
      <c r="I40" s="10">
        <v>2299891</v>
      </c>
      <c r="J40" s="7" t="s">
        <v>46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0.91995099999999996</v>
      </c>
      <c r="S40" s="11">
        <v>0.91995099999999996</v>
      </c>
      <c r="T40" s="13">
        <v>0</v>
      </c>
      <c r="U40" s="13">
        <v>0</v>
      </c>
      <c r="V40" s="15">
        <v>0</v>
      </c>
    </row>
    <row r="41" spans="1:22" ht="14.25" customHeight="1" x14ac:dyDescent="0.35">
      <c r="A41" s="6" t="s">
        <v>74</v>
      </c>
      <c r="B41" s="7" t="s">
        <v>75</v>
      </c>
      <c r="C41" s="7" t="s">
        <v>69</v>
      </c>
      <c r="D41" s="7" t="s">
        <v>70</v>
      </c>
      <c r="E41" s="7" t="s">
        <v>108</v>
      </c>
      <c r="F41" s="7" t="s">
        <v>109</v>
      </c>
      <c r="G41" s="7" t="s">
        <v>86</v>
      </c>
      <c r="H41" s="7" t="s">
        <v>65</v>
      </c>
      <c r="I41" s="10">
        <v>6455757</v>
      </c>
      <c r="J41" s="7" t="s">
        <v>46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2.5822219999999998</v>
      </c>
      <c r="S41" s="11">
        <v>2.5822219999999998</v>
      </c>
      <c r="T41" s="13">
        <v>0</v>
      </c>
      <c r="U41" s="13">
        <v>0</v>
      </c>
      <c r="V41" s="15">
        <v>0</v>
      </c>
    </row>
    <row r="42" spans="1:22" ht="14.25" customHeight="1" x14ac:dyDescent="0.35">
      <c r="A42" s="6" t="s">
        <v>90</v>
      </c>
      <c r="B42" s="7" t="s">
        <v>91</v>
      </c>
      <c r="C42" s="7" t="s">
        <v>69</v>
      </c>
      <c r="D42" s="7" t="s">
        <v>70</v>
      </c>
      <c r="E42" s="7" t="s">
        <v>108</v>
      </c>
      <c r="F42" s="7" t="s">
        <v>109</v>
      </c>
      <c r="G42" s="7" t="s">
        <v>102</v>
      </c>
      <c r="H42" s="7" t="s">
        <v>82</v>
      </c>
      <c r="I42" s="10">
        <v>6974270</v>
      </c>
      <c r="J42" s="7" t="s">
        <v>46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2.7896969999999999</v>
      </c>
      <c r="S42" s="11">
        <v>2.7896969999999999</v>
      </c>
      <c r="T42" s="13">
        <v>0</v>
      </c>
      <c r="U42" s="13">
        <v>0</v>
      </c>
      <c r="V42" s="15">
        <v>0</v>
      </c>
    </row>
    <row r="43" spans="1:22" ht="14.25" customHeight="1" x14ac:dyDescent="0.35">
      <c r="A43" s="6" t="s">
        <v>67</v>
      </c>
      <c r="B43" s="7" t="s">
        <v>68</v>
      </c>
      <c r="C43" s="7" t="s">
        <v>69</v>
      </c>
      <c r="D43" s="7" t="s">
        <v>70</v>
      </c>
      <c r="E43" s="7" t="s">
        <v>112</v>
      </c>
      <c r="F43" s="7" t="s">
        <v>113</v>
      </c>
      <c r="G43" s="7" t="s">
        <v>86</v>
      </c>
      <c r="H43" s="7" t="s">
        <v>110</v>
      </c>
      <c r="I43" s="10">
        <v>38997</v>
      </c>
      <c r="J43" s="7" t="s">
        <v>46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0.38996999999999998</v>
      </c>
      <c r="S43" s="11">
        <v>0.38996999999999998</v>
      </c>
      <c r="T43" s="13">
        <v>0</v>
      </c>
      <c r="U43" s="13">
        <v>0</v>
      </c>
      <c r="V43" s="15">
        <v>0</v>
      </c>
    </row>
    <row r="44" spans="1:22" ht="14.25" customHeight="1" x14ac:dyDescent="0.35">
      <c r="A44" s="6" t="s">
        <v>97</v>
      </c>
      <c r="B44" s="7" t="s">
        <v>98</v>
      </c>
      <c r="C44" s="7" t="s">
        <v>69</v>
      </c>
      <c r="D44" s="7" t="s">
        <v>70</v>
      </c>
      <c r="E44" s="7" t="s">
        <v>112</v>
      </c>
      <c r="F44" s="7" t="s">
        <v>113</v>
      </c>
      <c r="G44" s="7" t="s">
        <v>86</v>
      </c>
      <c r="H44" s="7" t="s">
        <v>65</v>
      </c>
      <c r="I44" s="10">
        <v>2383114</v>
      </c>
      <c r="J44" s="7" t="s">
        <v>46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23.831140000000001</v>
      </c>
      <c r="S44" s="11">
        <v>23.831140000000001</v>
      </c>
      <c r="T44" s="13">
        <v>0</v>
      </c>
      <c r="U44" s="13">
        <v>0</v>
      </c>
      <c r="V44" s="15">
        <v>0</v>
      </c>
    </row>
    <row r="45" spans="1:22" ht="14.25" customHeight="1" x14ac:dyDescent="0.35">
      <c r="A45" s="6" t="s">
        <v>90</v>
      </c>
      <c r="B45" s="7" t="s">
        <v>91</v>
      </c>
      <c r="C45" s="7" t="s">
        <v>69</v>
      </c>
      <c r="D45" s="7" t="s">
        <v>70</v>
      </c>
      <c r="E45" s="7" t="s">
        <v>112</v>
      </c>
      <c r="F45" s="7" t="s">
        <v>113</v>
      </c>
      <c r="G45" s="7" t="s">
        <v>86</v>
      </c>
      <c r="H45" s="7" t="s">
        <v>65</v>
      </c>
      <c r="I45" s="10">
        <v>1135835</v>
      </c>
      <c r="J45" s="7" t="s">
        <v>46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11.35835</v>
      </c>
      <c r="S45" s="11">
        <v>11.35835</v>
      </c>
      <c r="T45" s="13">
        <v>0</v>
      </c>
      <c r="U45" s="13">
        <v>0</v>
      </c>
      <c r="V45" s="15">
        <v>0</v>
      </c>
    </row>
    <row r="46" spans="1:22" ht="14.25" customHeight="1" x14ac:dyDescent="0.35">
      <c r="A46" s="6" t="s">
        <v>74</v>
      </c>
      <c r="B46" s="7" t="s">
        <v>75</v>
      </c>
      <c r="C46" s="7" t="s">
        <v>69</v>
      </c>
      <c r="D46" s="7" t="s">
        <v>70</v>
      </c>
      <c r="E46" s="7" t="s">
        <v>112</v>
      </c>
      <c r="F46" s="7" t="s">
        <v>113</v>
      </c>
      <c r="G46" s="7" t="s">
        <v>64</v>
      </c>
      <c r="H46" s="7" t="s">
        <v>65</v>
      </c>
      <c r="I46" s="10">
        <v>5259581</v>
      </c>
      <c r="J46" s="7" t="s">
        <v>46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52.59581</v>
      </c>
      <c r="S46" s="11">
        <v>52.59581</v>
      </c>
      <c r="T46" s="13">
        <v>0</v>
      </c>
      <c r="U46" s="13">
        <v>0</v>
      </c>
      <c r="V46" s="15">
        <v>0</v>
      </c>
    </row>
    <row r="47" spans="1:22" ht="14.25" customHeight="1" x14ac:dyDescent="0.35">
      <c r="A47" s="6" t="s">
        <v>90</v>
      </c>
      <c r="B47" s="7" t="s">
        <v>91</v>
      </c>
      <c r="C47" s="7" t="s">
        <v>69</v>
      </c>
      <c r="D47" s="7" t="s">
        <v>70</v>
      </c>
      <c r="E47" s="7" t="s">
        <v>114</v>
      </c>
      <c r="F47" s="7" t="s">
        <v>115</v>
      </c>
      <c r="G47" s="7" t="s">
        <v>116</v>
      </c>
      <c r="H47" s="7" t="s">
        <v>110</v>
      </c>
      <c r="I47" s="10">
        <v>28537</v>
      </c>
      <c r="J47" s="7" t="s">
        <v>46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2.8509999999999998E-3</v>
      </c>
      <c r="S47" s="11">
        <v>2.8509999999999998E-3</v>
      </c>
      <c r="T47" s="13">
        <v>0</v>
      </c>
      <c r="U47" s="13">
        <v>0</v>
      </c>
      <c r="V47" s="15">
        <v>0</v>
      </c>
    </row>
    <row r="48" spans="1:22" ht="14.25" customHeight="1" x14ac:dyDescent="0.35">
      <c r="A48" s="6" t="s">
        <v>74</v>
      </c>
      <c r="B48" s="7" t="s">
        <v>75</v>
      </c>
      <c r="C48" s="7" t="s">
        <v>69</v>
      </c>
      <c r="D48" s="7" t="s">
        <v>70</v>
      </c>
      <c r="E48" s="7" t="s">
        <v>114</v>
      </c>
      <c r="F48" s="7" t="s">
        <v>115</v>
      </c>
      <c r="G48" s="7" t="s">
        <v>86</v>
      </c>
      <c r="H48" s="7" t="s">
        <v>65</v>
      </c>
      <c r="I48" s="10">
        <v>806291</v>
      </c>
      <c r="J48" s="7" t="s">
        <v>46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8.0573000000000006E-2</v>
      </c>
      <c r="S48" s="11">
        <v>8.0573000000000006E-2</v>
      </c>
      <c r="T48" s="13">
        <v>0</v>
      </c>
      <c r="U48" s="13">
        <v>0</v>
      </c>
      <c r="V48" s="15">
        <v>0</v>
      </c>
    </row>
    <row r="49" spans="1:22" ht="14.25" customHeight="1" x14ac:dyDescent="0.35">
      <c r="A49" s="6" t="s">
        <v>97</v>
      </c>
      <c r="B49" s="7" t="s">
        <v>98</v>
      </c>
      <c r="C49" s="7" t="s">
        <v>69</v>
      </c>
      <c r="D49" s="7" t="s">
        <v>70</v>
      </c>
      <c r="E49" s="7" t="s">
        <v>117</v>
      </c>
      <c r="F49" s="7" t="s">
        <v>118</v>
      </c>
      <c r="G49" s="7" t="s">
        <v>82</v>
      </c>
      <c r="H49" s="7" t="s">
        <v>119</v>
      </c>
      <c r="I49" s="10">
        <v>172865</v>
      </c>
      <c r="J49" s="7" t="s">
        <v>46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0.38894400000000001</v>
      </c>
      <c r="S49" s="11">
        <v>0.38894400000000001</v>
      </c>
      <c r="T49" s="13">
        <v>0</v>
      </c>
      <c r="U49" s="13">
        <v>0</v>
      </c>
      <c r="V49" s="15">
        <v>0</v>
      </c>
    </row>
    <row r="50" spans="1:22" ht="14.25" customHeight="1" x14ac:dyDescent="0.35">
      <c r="A50" s="6" t="s">
        <v>78</v>
      </c>
      <c r="B50" s="7" t="s">
        <v>79</v>
      </c>
      <c r="C50" s="7" t="s">
        <v>69</v>
      </c>
      <c r="D50" s="7" t="s">
        <v>70</v>
      </c>
      <c r="E50" s="7" t="s">
        <v>120</v>
      </c>
      <c r="F50" s="7" t="s">
        <v>121</v>
      </c>
      <c r="G50" s="7" t="s">
        <v>119</v>
      </c>
      <c r="H50" s="7" t="s">
        <v>59</v>
      </c>
      <c r="I50" s="10">
        <v>503183</v>
      </c>
      <c r="J50" s="7" t="s">
        <v>46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2.7167E-2</v>
      </c>
      <c r="S50" s="11">
        <v>2.7167E-2</v>
      </c>
      <c r="T50" s="13">
        <v>0</v>
      </c>
      <c r="U50" s="13">
        <v>0</v>
      </c>
      <c r="V50" s="15">
        <v>0</v>
      </c>
    </row>
    <row r="51" spans="1:22" ht="14.25" customHeight="1" x14ac:dyDescent="0.35">
      <c r="A51" s="6" t="s">
        <v>122</v>
      </c>
      <c r="B51" s="7" t="s">
        <v>123</v>
      </c>
      <c r="C51" s="7" t="s">
        <v>69</v>
      </c>
      <c r="D51" s="7" t="s">
        <v>70</v>
      </c>
      <c r="E51" s="7" t="s">
        <v>124</v>
      </c>
      <c r="F51" s="7" t="s">
        <v>125</v>
      </c>
      <c r="G51" s="7" t="s">
        <v>119</v>
      </c>
      <c r="H51" s="7" t="s">
        <v>119</v>
      </c>
      <c r="I51" s="10">
        <v>4</v>
      </c>
      <c r="J51" s="7" t="s">
        <v>46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9.9999999999999995E-7</v>
      </c>
      <c r="S51" s="11">
        <v>9.9999999999999995E-7</v>
      </c>
      <c r="T51" s="13">
        <v>0</v>
      </c>
      <c r="U51" s="13">
        <v>0</v>
      </c>
      <c r="V51" s="15">
        <v>0</v>
      </c>
    </row>
    <row r="52" spans="1:22" ht="14.25" customHeight="1" x14ac:dyDescent="0.35">
      <c r="A52" s="6" t="s">
        <v>74</v>
      </c>
      <c r="B52" s="7" t="s">
        <v>75</v>
      </c>
      <c r="C52" s="7" t="s">
        <v>69</v>
      </c>
      <c r="D52" s="7" t="s">
        <v>70</v>
      </c>
      <c r="E52" s="7" t="s">
        <v>124</v>
      </c>
      <c r="F52" s="7" t="s">
        <v>125</v>
      </c>
      <c r="G52" s="7" t="s">
        <v>87</v>
      </c>
      <c r="H52" s="7" t="s">
        <v>87</v>
      </c>
      <c r="I52" s="10">
        <v>4</v>
      </c>
      <c r="J52" s="7" t="s">
        <v>46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9.9999999999999995E-7</v>
      </c>
      <c r="S52" s="11">
        <v>9.9999999999999995E-7</v>
      </c>
      <c r="T52" s="13">
        <v>0</v>
      </c>
      <c r="U52" s="13">
        <v>0</v>
      </c>
      <c r="V52" s="15">
        <v>0</v>
      </c>
    </row>
    <row r="53" spans="1:22" ht="14.25" customHeight="1" x14ac:dyDescent="0.35">
      <c r="A53" s="6" t="s">
        <v>74</v>
      </c>
      <c r="B53" s="7" t="s">
        <v>75</v>
      </c>
      <c r="C53" s="7" t="s">
        <v>69</v>
      </c>
      <c r="D53" s="7" t="s">
        <v>70</v>
      </c>
      <c r="E53" s="7" t="s">
        <v>126</v>
      </c>
      <c r="F53" s="7" t="s">
        <v>127</v>
      </c>
      <c r="G53" s="7" t="s">
        <v>76</v>
      </c>
      <c r="H53" s="7" t="s">
        <v>128</v>
      </c>
      <c r="I53" s="10">
        <v>1816</v>
      </c>
      <c r="J53" s="7" t="s">
        <v>46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9.0300000000000005E-4</v>
      </c>
      <c r="S53" s="11">
        <v>9.0300000000000005E-4</v>
      </c>
      <c r="T53" s="13">
        <v>0</v>
      </c>
      <c r="U53" s="13">
        <v>0</v>
      </c>
      <c r="V53" s="15">
        <v>0</v>
      </c>
    </row>
    <row r="54" spans="1:22" ht="14.25" customHeight="1" x14ac:dyDescent="0.35">
      <c r="A54" s="6" t="s">
        <v>90</v>
      </c>
      <c r="B54" s="7" t="s">
        <v>91</v>
      </c>
      <c r="C54" s="7" t="s">
        <v>69</v>
      </c>
      <c r="D54" s="7" t="s">
        <v>70</v>
      </c>
      <c r="E54" s="7" t="s">
        <v>126</v>
      </c>
      <c r="F54" s="7" t="s">
        <v>127</v>
      </c>
      <c r="G54" s="7" t="s">
        <v>129</v>
      </c>
      <c r="H54" s="7" t="s">
        <v>94</v>
      </c>
      <c r="I54" s="10">
        <v>21</v>
      </c>
      <c r="J54" s="7" t="s">
        <v>46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9.0000000000000002E-6</v>
      </c>
      <c r="S54" s="11">
        <v>9.0000000000000002E-6</v>
      </c>
      <c r="T54" s="13">
        <v>0</v>
      </c>
      <c r="U54" s="13">
        <v>0</v>
      </c>
      <c r="V54" s="15">
        <v>0</v>
      </c>
    </row>
    <row r="55" spans="1:22" ht="14.25" customHeight="1" x14ac:dyDescent="0.35">
      <c r="A55" s="6" t="s">
        <v>97</v>
      </c>
      <c r="B55" s="7" t="s">
        <v>98</v>
      </c>
      <c r="C55" s="7" t="s">
        <v>69</v>
      </c>
      <c r="D55" s="7" t="s">
        <v>70</v>
      </c>
      <c r="E55" s="7" t="s">
        <v>126</v>
      </c>
      <c r="F55" s="7" t="s">
        <v>127</v>
      </c>
      <c r="G55" s="7" t="s">
        <v>94</v>
      </c>
      <c r="H55" s="7" t="s">
        <v>95</v>
      </c>
      <c r="I55" s="10">
        <v>46</v>
      </c>
      <c r="J55" s="7" t="s">
        <v>46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2.0999999999999999E-5</v>
      </c>
      <c r="S55" s="11">
        <v>2.0999999999999999E-5</v>
      </c>
      <c r="T55" s="13">
        <v>0</v>
      </c>
      <c r="U55" s="13">
        <v>0</v>
      </c>
      <c r="V55" s="15">
        <v>0</v>
      </c>
    </row>
    <row r="56" spans="1:22" ht="14.25" customHeight="1" x14ac:dyDescent="0.35">
      <c r="A56" s="6" t="s">
        <v>67</v>
      </c>
      <c r="B56" s="7" t="s">
        <v>68</v>
      </c>
      <c r="C56" s="7" t="s">
        <v>69</v>
      </c>
      <c r="D56" s="7" t="s">
        <v>70</v>
      </c>
      <c r="E56" s="7" t="s">
        <v>126</v>
      </c>
      <c r="F56" s="7" t="s">
        <v>127</v>
      </c>
      <c r="G56" s="7" t="s">
        <v>73</v>
      </c>
      <c r="H56" s="7" t="s">
        <v>65</v>
      </c>
      <c r="I56" s="10">
        <v>6456809</v>
      </c>
      <c r="J56" s="7" t="s">
        <v>46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3.2284000000000002</v>
      </c>
      <c r="S56" s="11">
        <v>3.2284000000000002</v>
      </c>
      <c r="T56" s="13">
        <v>0</v>
      </c>
      <c r="U56" s="13">
        <v>0</v>
      </c>
      <c r="V56" s="15">
        <v>0</v>
      </c>
    </row>
    <row r="57" spans="1:22" ht="14.25" customHeight="1" x14ac:dyDescent="0.35">
      <c r="A57" s="6" t="s">
        <v>67</v>
      </c>
      <c r="B57" s="7" t="s">
        <v>68</v>
      </c>
      <c r="C57" s="7" t="s">
        <v>69</v>
      </c>
      <c r="D57" s="7" t="s">
        <v>70</v>
      </c>
      <c r="E57" s="7" t="s">
        <v>130</v>
      </c>
      <c r="F57" s="7" t="s">
        <v>131</v>
      </c>
      <c r="G57" s="7" t="s">
        <v>73</v>
      </c>
      <c r="H57" s="7" t="s">
        <v>65</v>
      </c>
      <c r="I57" s="10">
        <v>7854517</v>
      </c>
      <c r="J57" s="7" t="s">
        <v>46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1.570886</v>
      </c>
      <c r="S57" s="11">
        <v>1.570886</v>
      </c>
      <c r="T57" s="13">
        <v>0</v>
      </c>
      <c r="U57" s="13">
        <v>0</v>
      </c>
      <c r="V57" s="15">
        <v>0</v>
      </c>
    </row>
    <row r="58" spans="1:22" ht="14.25" customHeight="1" x14ac:dyDescent="0.35">
      <c r="A58" s="6" t="s">
        <v>74</v>
      </c>
      <c r="B58" s="7" t="s">
        <v>75</v>
      </c>
      <c r="C58" s="7" t="s">
        <v>69</v>
      </c>
      <c r="D58" s="7" t="s">
        <v>70</v>
      </c>
      <c r="E58" s="7" t="s">
        <v>132</v>
      </c>
      <c r="F58" s="7" t="s">
        <v>133</v>
      </c>
      <c r="G58" s="7" t="s">
        <v>86</v>
      </c>
      <c r="H58" s="7" t="s">
        <v>95</v>
      </c>
      <c r="I58" s="10">
        <v>1553559</v>
      </c>
      <c r="J58" s="7" t="s">
        <v>46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0.19417300000000001</v>
      </c>
      <c r="S58" s="11">
        <v>0.19417300000000001</v>
      </c>
      <c r="T58" s="13">
        <v>0</v>
      </c>
      <c r="U58" s="13">
        <v>0</v>
      </c>
      <c r="V58" s="15">
        <v>0</v>
      </c>
    </row>
    <row r="59" spans="1:22" ht="14.25" customHeight="1" x14ac:dyDescent="0.35">
      <c r="A59" s="6" t="s">
        <v>97</v>
      </c>
      <c r="B59" s="7" t="s">
        <v>98</v>
      </c>
      <c r="C59" s="7" t="s">
        <v>69</v>
      </c>
      <c r="D59" s="7" t="s">
        <v>70</v>
      </c>
      <c r="E59" s="7" t="s">
        <v>132</v>
      </c>
      <c r="F59" s="7" t="s">
        <v>133</v>
      </c>
      <c r="G59" s="7" t="s">
        <v>86</v>
      </c>
      <c r="H59" s="7" t="s">
        <v>65</v>
      </c>
      <c r="I59" s="10">
        <v>362778</v>
      </c>
      <c r="J59" s="7" t="s">
        <v>46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4.5331999999999997E-2</v>
      </c>
      <c r="S59" s="11">
        <v>4.5331999999999997E-2</v>
      </c>
      <c r="T59" s="13">
        <v>0</v>
      </c>
      <c r="U59" s="13">
        <v>0</v>
      </c>
      <c r="V59" s="15">
        <v>0</v>
      </c>
    </row>
    <row r="60" spans="1:22" ht="14.25" customHeight="1" x14ac:dyDescent="0.35">
      <c r="A60" s="6" t="s">
        <v>67</v>
      </c>
      <c r="B60" s="7" t="s">
        <v>68</v>
      </c>
      <c r="C60" s="7" t="s">
        <v>69</v>
      </c>
      <c r="D60" s="7" t="s">
        <v>70</v>
      </c>
      <c r="E60" s="7" t="s">
        <v>132</v>
      </c>
      <c r="F60" s="7" t="s">
        <v>133</v>
      </c>
      <c r="G60" s="7" t="s">
        <v>103</v>
      </c>
      <c r="H60" s="7" t="s">
        <v>103</v>
      </c>
      <c r="I60" s="10">
        <v>1000</v>
      </c>
      <c r="J60" s="7" t="s">
        <v>46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1.25E-4</v>
      </c>
      <c r="S60" s="11">
        <v>1.25E-4</v>
      </c>
      <c r="T60" s="13">
        <v>0</v>
      </c>
      <c r="U60" s="13">
        <v>0</v>
      </c>
      <c r="V60" s="15">
        <v>0</v>
      </c>
    </row>
    <row r="61" spans="1:22" ht="14.25" customHeight="1" x14ac:dyDescent="0.35">
      <c r="A61" s="6" t="s">
        <v>90</v>
      </c>
      <c r="B61" s="7" t="s">
        <v>91</v>
      </c>
      <c r="C61" s="7" t="s">
        <v>69</v>
      </c>
      <c r="D61" s="7" t="s">
        <v>70</v>
      </c>
      <c r="E61" s="7" t="s">
        <v>132</v>
      </c>
      <c r="F61" s="7" t="s">
        <v>133</v>
      </c>
      <c r="G61" s="7" t="s">
        <v>86</v>
      </c>
      <c r="H61" s="7" t="s">
        <v>116</v>
      </c>
      <c r="I61" s="10">
        <v>110679</v>
      </c>
      <c r="J61" s="7" t="s">
        <v>46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1.3827000000000001E-2</v>
      </c>
      <c r="S61" s="11">
        <v>1.3827000000000001E-2</v>
      </c>
      <c r="T61" s="13">
        <v>0</v>
      </c>
      <c r="U61" s="13">
        <v>0</v>
      </c>
      <c r="V61" s="15">
        <v>0</v>
      </c>
    </row>
    <row r="62" spans="1:22" ht="14.25" customHeight="1" x14ac:dyDescent="0.35">
      <c r="A62" s="6" t="s">
        <v>78</v>
      </c>
      <c r="B62" s="7" t="s">
        <v>79</v>
      </c>
      <c r="C62" s="7" t="s">
        <v>69</v>
      </c>
      <c r="D62" s="7" t="s">
        <v>70</v>
      </c>
      <c r="E62" s="7" t="s">
        <v>134</v>
      </c>
      <c r="F62" s="7" t="s">
        <v>135</v>
      </c>
      <c r="G62" s="7" t="s">
        <v>82</v>
      </c>
      <c r="H62" s="7" t="s">
        <v>65</v>
      </c>
      <c r="I62" s="10">
        <v>8444.4609999999993</v>
      </c>
      <c r="J62" s="7" t="s">
        <v>136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3">
        <v>0.14000000000000001</v>
      </c>
      <c r="U62" s="13">
        <v>3.3000000000000002E-2</v>
      </c>
      <c r="V62" s="15">
        <v>0.16839999999999999</v>
      </c>
    </row>
    <row r="63" spans="1:22" ht="14.25" customHeight="1" x14ac:dyDescent="0.35">
      <c r="A63" s="6" t="s">
        <v>97</v>
      </c>
      <c r="B63" s="7" t="s">
        <v>98</v>
      </c>
      <c r="C63" s="7" t="s">
        <v>69</v>
      </c>
      <c r="D63" s="7" t="s">
        <v>70</v>
      </c>
      <c r="E63" s="7" t="s">
        <v>137</v>
      </c>
      <c r="F63" s="7" t="s">
        <v>138</v>
      </c>
      <c r="G63" s="7" t="s">
        <v>82</v>
      </c>
      <c r="H63" s="7" t="s">
        <v>119</v>
      </c>
      <c r="I63" s="10">
        <v>252604</v>
      </c>
      <c r="J63" s="7" t="s">
        <v>46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5.6832000000000001E-2</v>
      </c>
      <c r="S63" s="11">
        <v>5.6832000000000001E-2</v>
      </c>
      <c r="T63" s="13">
        <v>0</v>
      </c>
      <c r="U63" s="13">
        <v>0</v>
      </c>
      <c r="V63" s="15">
        <v>0</v>
      </c>
    </row>
    <row r="64" spans="1:22" ht="14.25" customHeight="1" x14ac:dyDescent="0.35">
      <c r="A64" s="6" t="s">
        <v>78</v>
      </c>
      <c r="B64" s="7" t="s">
        <v>79</v>
      </c>
      <c r="C64" s="7" t="s">
        <v>69</v>
      </c>
      <c r="D64" s="7" t="s">
        <v>70</v>
      </c>
      <c r="E64" s="7" t="s">
        <v>139</v>
      </c>
      <c r="F64" s="7" t="s">
        <v>140</v>
      </c>
      <c r="G64" s="7" t="s">
        <v>119</v>
      </c>
      <c r="H64" s="7" t="s">
        <v>59</v>
      </c>
      <c r="I64" s="10">
        <v>10577</v>
      </c>
      <c r="J64" s="7" t="s">
        <v>46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4.7593999999999997E-2</v>
      </c>
      <c r="S64" s="11">
        <v>4.7593999999999997E-2</v>
      </c>
      <c r="T64" s="13">
        <v>0</v>
      </c>
      <c r="U64" s="13">
        <v>0</v>
      </c>
      <c r="V64" s="15">
        <v>0</v>
      </c>
    </row>
    <row r="65" spans="1:22" ht="14.25" customHeight="1" x14ac:dyDescent="0.35">
      <c r="A65" s="6" t="s">
        <v>90</v>
      </c>
      <c r="B65" s="7" t="s">
        <v>91</v>
      </c>
      <c r="C65" s="7" t="s">
        <v>69</v>
      </c>
      <c r="D65" s="7" t="s">
        <v>70</v>
      </c>
      <c r="E65" s="7" t="s">
        <v>141</v>
      </c>
      <c r="F65" s="7" t="s">
        <v>142</v>
      </c>
      <c r="G65" s="7" t="s">
        <v>77</v>
      </c>
      <c r="H65" s="7" t="s">
        <v>111</v>
      </c>
      <c r="I65" s="10">
        <v>34163</v>
      </c>
      <c r="J65" s="7" t="s">
        <v>46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3.3599999999999998E-4</v>
      </c>
      <c r="S65" s="11">
        <v>3.3599999999999998E-4</v>
      </c>
      <c r="T65" s="13">
        <v>0</v>
      </c>
      <c r="U65" s="13">
        <v>0</v>
      </c>
      <c r="V65" s="15">
        <v>0</v>
      </c>
    </row>
    <row r="66" spans="1:22" ht="14.25" customHeight="1" x14ac:dyDescent="0.35">
      <c r="A66" s="6" t="s">
        <v>67</v>
      </c>
      <c r="B66" s="7" t="s">
        <v>68</v>
      </c>
      <c r="C66" s="7" t="s">
        <v>69</v>
      </c>
      <c r="D66" s="7" t="s">
        <v>70</v>
      </c>
      <c r="E66" s="7" t="s">
        <v>141</v>
      </c>
      <c r="F66" s="7" t="s">
        <v>142</v>
      </c>
      <c r="G66" s="7" t="s">
        <v>143</v>
      </c>
      <c r="H66" s="7" t="s">
        <v>110</v>
      </c>
      <c r="I66" s="10">
        <v>112205</v>
      </c>
      <c r="J66" s="7" t="s">
        <v>46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1.1130000000000001E-3</v>
      </c>
      <c r="S66" s="11">
        <v>1.1130000000000001E-3</v>
      </c>
      <c r="T66" s="13">
        <v>0</v>
      </c>
      <c r="U66" s="13">
        <v>0</v>
      </c>
      <c r="V66" s="15">
        <v>0</v>
      </c>
    </row>
    <row r="67" spans="1:22" ht="14.25" customHeight="1" x14ac:dyDescent="0.35">
      <c r="A67" s="6" t="s">
        <v>74</v>
      </c>
      <c r="B67" s="7" t="s">
        <v>75</v>
      </c>
      <c r="C67" s="7" t="s">
        <v>69</v>
      </c>
      <c r="D67" s="7" t="s">
        <v>70</v>
      </c>
      <c r="E67" s="7" t="s">
        <v>141</v>
      </c>
      <c r="F67" s="7" t="s">
        <v>142</v>
      </c>
      <c r="G67" s="7" t="s">
        <v>86</v>
      </c>
      <c r="H67" s="7" t="s">
        <v>65</v>
      </c>
      <c r="I67" s="10">
        <v>53839</v>
      </c>
      <c r="J67" s="7" t="s">
        <v>46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5.1599999999999997E-4</v>
      </c>
      <c r="S67" s="11">
        <v>5.1599999999999997E-4</v>
      </c>
      <c r="T67" s="13">
        <v>0</v>
      </c>
      <c r="U67" s="13">
        <v>0</v>
      </c>
      <c r="V67" s="15">
        <v>0</v>
      </c>
    </row>
    <row r="68" spans="1:22" ht="14.25" customHeight="1" x14ac:dyDescent="0.35">
      <c r="A68" s="6" t="s">
        <v>67</v>
      </c>
      <c r="B68" s="7" t="s">
        <v>68</v>
      </c>
      <c r="C68" s="7" t="s">
        <v>69</v>
      </c>
      <c r="D68" s="7" t="s">
        <v>70</v>
      </c>
      <c r="E68" s="7" t="s">
        <v>144</v>
      </c>
      <c r="F68" s="7" t="s">
        <v>145</v>
      </c>
      <c r="G68" s="7" t="s">
        <v>111</v>
      </c>
      <c r="H68" s="7" t="s">
        <v>65</v>
      </c>
      <c r="I68" s="10">
        <v>71240</v>
      </c>
      <c r="J68" s="7" t="s">
        <v>46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0.14248</v>
      </c>
      <c r="S68" s="11">
        <v>0.14248</v>
      </c>
      <c r="T68" s="13">
        <v>0</v>
      </c>
      <c r="U68" s="13">
        <v>0</v>
      </c>
      <c r="V68" s="15">
        <v>0</v>
      </c>
    </row>
    <row r="69" spans="1:22" ht="14.25" customHeight="1" x14ac:dyDescent="0.35">
      <c r="A69" s="6" t="s">
        <v>106</v>
      </c>
      <c r="B69" s="7" t="s">
        <v>107</v>
      </c>
      <c r="C69" s="7" t="s">
        <v>69</v>
      </c>
      <c r="D69" s="7" t="s">
        <v>70</v>
      </c>
      <c r="E69" s="7" t="s">
        <v>144</v>
      </c>
      <c r="F69" s="7" t="s">
        <v>145</v>
      </c>
      <c r="G69" s="7" t="s">
        <v>65</v>
      </c>
      <c r="H69" s="7" t="s">
        <v>65</v>
      </c>
      <c r="I69" s="10">
        <v>1073</v>
      </c>
      <c r="J69" s="7" t="s">
        <v>46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2.1459999999999999E-3</v>
      </c>
      <c r="S69" s="11">
        <v>2.1459999999999999E-3</v>
      </c>
      <c r="T69" s="13">
        <v>0</v>
      </c>
      <c r="U69" s="13">
        <v>0</v>
      </c>
      <c r="V69" s="15">
        <v>0</v>
      </c>
    </row>
    <row r="70" spans="1:22" ht="14.25" customHeight="1" x14ac:dyDescent="0.35">
      <c r="A70" s="6" t="s">
        <v>97</v>
      </c>
      <c r="B70" s="7" t="s">
        <v>98</v>
      </c>
      <c r="C70" s="7" t="s">
        <v>69</v>
      </c>
      <c r="D70" s="7" t="s">
        <v>70</v>
      </c>
      <c r="E70" s="7" t="s">
        <v>146</v>
      </c>
      <c r="F70" s="7" t="s">
        <v>147</v>
      </c>
      <c r="G70" s="7" t="s">
        <v>82</v>
      </c>
      <c r="H70" s="7" t="s">
        <v>119</v>
      </c>
      <c r="I70" s="10">
        <v>44887</v>
      </c>
      <c r="J70" s="7" t="s">
        <v>46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1.0097999999999999E-2</v>
      </c>
      <c r="S70" s="11">
        <v>1.0097999999999999E-2</v>
      </c>
      <c r="T70" s="13">
        <v>0</v>
      </c>
      <c r="U70" s="13">
        <v>0</v>
      </c>
      <c r="V70" s="15">
        <v>0</v>
      </c>
    </row>
    <row r="71" spans="1:22" ht="14.25" customHeight="1" x14ac:dyDescent="0.35">
      <c r="A71" s="6" t="s">
        <v>74</v>
      </c>
      <c r="B71" s="7" t="s">
        <v>75</v>
      </c>
      <c r="C71" s="7" t="s">
        <v>69</v>
      </c>
      <c r="D71" s="7" t="s">
        <v>70</v>
      </c>
      <c r="E71" s="7" t="s">
        <v>148</v>
      </c>
      <c r="F71" s="7" t="s">
        <v>149</v>
      </c>
      <c r="G71" s="7" t="s">
        <v>64</v>
      </c>
      <c r="H71" s="7" t="s">
        <v>65</v>
      </c>
      <c r="I71" s="10">
        <v>48495554</v>
      </c>
      <c r="J71" s="7" t="s">
        <v>46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60.619230000000002</v>
      </c>
      <c r="S71" s="11">
        <v>60.619230000000002</v>
      </c>
      <c r="T71" s="13">
        <v>0</v>
      </c>
      <c r="U71" s="13">
        <v>0</v>
      </c>
      <c r="V71" s="15">
        <v>0</v>
      </c>
    </row>
    <row r="72" spans="1:22" ht="14.25" customHeight="1" x14ac:dyDescent="0.35">
      <c r="A72" s="6" t="s">
        <v>97</v>
      </c>
      <c r="B72" s="7" t="s">
        <v>98</v>
      </c>
      <c r="C72" s="7" t="s">
        <v>69</v>
      </c>
      <c r="D72" s="7" t="s">
        <v>70</v>
      </c>
      <c r="E72" s="7" t="s">
        <v>148</v>
      </c>
      <c r="F72" s="7" t="s">
        <v>149</v>
      </c>
      <c r="G72" s="7" t="s">
        <v>64</v>
      </c>
      <c r="H72" s="7" t="s">
        <v>65</v>
      </c>
      <c r="I72" s="10">
        <v>71596275</v>
      </c>
      <c r="J72" s="7" t="s">
        <v>46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89.495063000000002</v>
      </c>
      <c r="S72" s="11">
        <v>89.495063000000002</v>
      </c>
      <c r="T72" s="13">
        <v>0</v>
      </c>
      <c r="U72" s="13">
        <v>0</v>
      </c>
      <c r="V72" s="15">
        <v>0</v>
      </c>
    </row>
    <row r="73" spans="1:22" ht="14.25" customHeight="1" x14ac:dyDescent="0.35">
      <c r="A73" s="6" t="s">
        <v>90</v>
      </c>
      <c r="B73" s="7" t="s">
        <v>91</v>
      </c>
      <c r="C73" s="7" t="s">
        <v>69</v>
      </c>
      <c r="D73" s="7" t="s">
        <v>70</v>
      </c>
      <c r="E73" s="7" t="s">
        <v>148</v>
      </c>
      <c r="F73" s="7" t="s">
        <v>149</v>
      </c>
      <c r="G73" s="7" t="s">
        <v>64</v>
      </c>
      <c r="H73" s="7" t="s">
        <v>65</v>
      </c>
      <c r="I73" s="10">
        <v>4298296</v>
      </c>
      <c r="J73" s="7" t="s">
        <v>46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5.3728470000000002</v>
      </c>
      <c r="S73" s="11">
        <v>5.3728470000000002</v>
      </c>
      <c r="T73" s="13">
        <v>0</v>
      </c>
      <c r="U73" s="13">
        <v>0</v>
      </c>
      <c r="V73" s="15">
        <v>0</v>
      </c>
    </row>
    <row r="74" spans="1:22" ht="14.25" customHeight="1" x14ac:dyDescent="0.35">
      <c r="A74" s="6" t="s">
        <v>67</v>
      </c>
      <c r="B74" s="7" t="s">
        <v>68</v>
      </c>
      <c r="C74" s="7" t="s">
        <v>69</v>
      </c>
      <c r="D74" s="7" t="s">
        <v>70</v>
      </c>
      <c r="E74" s="7" t="s">
        <v>148</v>
      </c>
      <c r="F74" s="7" t="s">
        <v>149</v>
      </c>
      <c r="G74" s="7" t="s">
        <v>86</v>
      </c>
      <c r="H74" s="7" t="s">
        <v>110</v>
      </c>
      <c r="I74" s="10">
        <v>598030</v>
      </c>
      <c r="J74" s="7" t="s">
        <v>46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0.74753099999999995</v>
      </c>
      <c r="S74" s="11">
        <v>0.74753099999999995</v>
      </c>
      <c r="T74" s="13">
        <v>0</v>
      </c>
      <c r="U74" s="13">
        <v>0</v>
      </c>
      <c r="V74" s="15">
        <v>0</v>
      </c>
    </row>
    <row r="75" spans="1:22" ht="14.25" customHeight="1" x14ac:dyDescent="0.35">
      <c r="A75" s="6" t="s">
        <v>78</v>
      </c>
      <c r="B75" s="7" t="s">
        <v>79</v>
      </c>
      <c r="C75" s="7" t="s">
        <v>69</v>
      </c>
      <c r="D75" s="7" t="s">
        <v>70</v>
      </c>
      <c r="E75" s="7" t="s">
        <v>150</v>
      </c>
      <c r="F75" s="7" t="s">
        <v>151</v>
      </c>
      <c r="G75" s="7" t="s">
        <v>82</v>
      </c>
      <c r="H75" s="7" t="s">
        <v>65</v>
      </c>
      <c r="I75" s="10">
        <v>1023269</v>
      </c>
      <c r="J75" s="7" t="s">
        <v>46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3.0693999999999999E-2</v>
      </c>
      <c r="S75" s="11">
        <v>3.0693999999999999E-2</v>
      </c>
      <c r="T75" s="13">
        <v>0</v>
      </c>
      <c r="U75" s="13">
        <v>0</v>
      </c>
      <c r="V75" s="15">
        <v>0</v>
      </c>
    </row>
    <row r="76" spans="1:22" ht="14.25" customHeight="1" x14ac:dyDescent="0.35">
      <c r="A76" s="6" t="s">
        <v>122</v>
      </c>
      <c r="B76" s="7" t="s">
        <v>123</v>
      </c>
      <c r="C76" s="7" t="s">
        <v>69</v>
      </c>
      <c r="D76" s="7" t="s">
        <v>70</v>
      </c>
      <c r="E76" s="7" t="s">
        <v>150</v>
      </c>
      <c r="F76" s="7" t="s">
        <v>151</v>
      </c>
      <c r="G76" s="7" t="s">
        <v>152</v>
      </c>
      <c r="H76" s="7" t="s">
        <v>87</v>
      </c>
      <c r="I76" s="10">
        <v>2671840</v>
      </c>
      <c r="J76" s="7" t="s">
        <v>46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8.0118999999999996E-2</v>
      </c>
      <c r="S76" s="11">
        <v>8.0118999999999996E-2</v>
      </c>
      <c r="T76" s="13">
        <v>0</v>
      </c>
      <c r="U76" s="13">
        <v>0</v>
      </c>
      <c r="V76" s="15">
        <v>0</v>
      </c>
    </row>
    <row r="77" spans="1:22" ht="14.25" customHeight="1" x14ac:dyDescent="0.35">
      <c r="A77" s="6" t="s">
        <v>96</v>
      </c>
      <c r="B77" s="7" t="s">
        <v>79</v>
      </c>
      <c r="C77" s="7" t="s">
        <v>69</v>
      </c>
      <c r="D77" s="7" t="s">
        <v>70</v>
      </c>
      <c r="E77" s="7" t="s">
        <v>150</v>
      </c>
      <c r="F77" s="7" t="s">
        <v>151</v>
      </c>
      <c r="G77" s="7" t="s">
        <v>86</v>
      </c>
      <c r="H77" s="7" t="s">
        <v>87</v>
      </c>
      <c r="I77" s="10">
        <v>1814264</v>
      </c>
      <c r="J77" s="7" t="s">
        <v>46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5.4417E-2</v>
      </c>
      <c r="S77" s="11">
        <v>5.4417E-2</v>
      </c>
      <c r="T77" s="13">
        <v>0</v>
      </c>
      <c r="U77" s="13">
        <v>0</v>
      </c>
      <c r="V77" s="15">
        <v>0</v>
      </c>
    </row>
    <row r="78" spans="1:22" ht="14.25" customHeight="1" x14ac:dyDescent="0.35">
      <c r="A78" s="6" t="s">
        <v>67</v>
      </c>
      <c r="B78" s="7" t="s">
        <v>68</v>
      </c>
      <c r="C78" s="7" t="s">
        <v>69</v>
      </c>
      <c r="D78" s="7" t="s">
        <v>70</v>
      </c>
      <c r="E78" s="7" t="s">
        <v>150</v>
      </c>
      <c r="F78" s="7" t="s">
        <v>151</v>
      </c>
      <c r="G78" s="7" t="s">
        <v>153</v>
      </c>
      <c r="H78" s="7" t="s">
        <v>128</v>
      </c>
      <c r="I78" s="10">
        <v>14658</v>
      </c>
      <c r="J78" s="7" t="s">
        <v>46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4.3800000000000002E-4</v>
      </c>
      <c r="S78" s="11">
        <v>4.3800000000000002E-4</v>
      </c>
      <c r="T78" s="13">
        <v>0</v>
      </c>
      <c r="U78" s="13">
        <v>0</v>
      </c>
      <c r="V78" s="15">
        <v>0</v>
      </c>
    </row>
    <row r="79" spans="1:22" ht="14.25" customHeight="1" x14ac:dyDescent="0.35">
      <c r="A79" s="6" t="s">
        <v>74</v>
      </c>
      <c r="B79" s="7" t="s">
        <v>75</v>
      </c>
      <c r="C79" s="7" t="s">
        <v>69</v>
      </c>
      <c r="D79" s="7" t="s">
        <v>70</v>
      </c>
      <c r="E79" s="7" t="s">
        <v>154</v>
      </c>
      <c r="F79" s="7" t="s">
        <v>155</v>
      </c>
      <c r="G79" s="7" t="s">
        <v>76</v>
      </c>
      <c r="H79" s="7" t="s">
        <v>156</v>
      </c>
      <c r="I79" s="10">
        <v>1581</v>
      </c>
      <c r="J79" s="7" t="s">
        <v>46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3.9519999999999998E-3</v>
      </c>
      <c r="S79" s="11">
        <v>3.9519999999999998E-3</v>
      </c>
      <c r="T79" s="13">
        <v>0</v>
      </c>
      <c r="U79" s="13">
        <v>0</v>
      </c>
      <c r="V79" s="15">
        <v>0</v>
      </c>
    </row>
    <row r="80" spans="1:22" ht="14.25" customHeight="1" x14ac:dyDescent="0.35">
      <c r="A80" s="6" t="s">
        <v>122</v>
      </c>
      <c r="B80" s="7" t="s">
        <v>123</v>
      </c>
      <c r="C80" s="7" t="s">
        <v>69</v>
      </c>
      <c r="D80" s="7" t="s">
        <v>70</v>
      </c>
      <c r="E80" s="7" t="s">
        <v>154</v>
      </c>
      <c r="F80" s="7" t="s">
        <v>155</v>
      </c>
      <c r="G80" s="7" t="s">
        <v>152</v>
      </c>
      <c r="H80" s="7" t="s">
        <v>87</v>
      </c>
      <c r="I80" s="10">
        <v>187456</v>
      </c>
      <c r="J80" s="7" t="s">
        <v>46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0.468615</v>
      </c>
      <c r="S80" s="11">
        <v>0.468615</v>
      </c>
      <c r="T80" s="13">
        <v>0</v>
      </c>
      <c r="U80" s="13">
        <v>0</v>
      </c>
      <c r="V80" s="15">
        <v>0</v>
      </c>
    </row>
    <row r="81" spans="1:22" ht="14.25" customHeight="1" x14ac:dyDescent="0.35">
      <c r="A81" s="6" t="s">
        <v>67</v>
      </c>
      <c r="B81" s="7" t="s">
        <v>68</v>
      </c>
      <c r="C81" s="7" t="s">
        <v>69</v>
      </c>
      <c r="D81" s="7" t="s">
        <v>70</v>
      </c>
      <c r="E81" s="7" t="s">
        <v>154</v>
      </c>
      <c r="F81" s="7" t="s">
        <v>155</v>
      </c>
      <c r="G81" s="7" t="s">
        <v>103</v>
      </c>
      <c r="H81" s="7" t="s">
        <v>128</v>
      </c>
      <c r="I81" s="10">
        <v>1521</v>
      </c>
      <c r="J81" s="7" t="s">
        <v>46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3.8019999999999998E-3</v>
      </c>
      <c r="S81" s="11">
        <v>3.8019999999999998E-3</v>
      </c>
      <c r="T81" s="13">
        <v>0</v>
      </c>
      <c r="U81" s="13">
        <v>0</v>
      </c>
      <c r="V81" s="15">
        <v>0</v>
      </c>
    </row>
    <row r="82" spans="1:22" ht="14.25" customHeight="1" x14ac:dyDescent="0.35">
      <c r="A82" s="6" t="s">
        <v>90</v>
      </c>
      <c r="B82" s="7" t="s">
        <v>91</v>
      </c>
      <c r="C82" s="7" t="s">
        <v>69</v>
      </c>
      <c r="D82" s="7" t="s">
        <v>70</v>
      </c>
      <c r="E82" s="7" t="s">
        <v>154</v>
      </c>
      <c r="F82" s="7" t="s">
        <v>155</v>
      </c>
      <c r="G82" s="7" t="s">
        <v>156</v>
      </c>
      <c r="H82" s="7" t="s">
        <v>156</v>
      </c>
      <c r="I82" s="10">
        <v>179</v>
      </c>
      <c r="J82" s="7" t="s">
        <v>46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4.4700000000000002E-4</v>
      </c>
      <c r="S82" s="11">
        <v>4.4700000000000002E-4</v>
      </c>
      <c r="T82" s="13">
        <v>0</v>
      </c>
      <c r="U82" s="13">
        <v>0</v>
      </c>
      <c r="V82" s="15">
        <v>0</v>
      </c>
    </row>
    <row r="83" spans="1:22" ht="14.25" customHeight="1" x14ac:dyDescent="0.35">
      <c r="A83" s="6" t="s">
        <v>96</v>
      </c>
      <c r="B83" s="7" t="s">
        <v>79</v>
      </c>
      <c r="C83" s="7" t="s">
        <v>69</v>
      </c>
      <c r="D83" s="7" t="s">
        <v>70</v>
      </c>
      <c r="E83" s="7" t="s">
        <v>154</v>
      </c>
      <c r="F83" s="7" t="s">
        <v>155</v>
      </c>
      <c r="G83" s="7" t="s">
        <v>73</v>
      </c>
      <c r="H83" s="7" t="s">
        <v>87</v>
      </c>
      <c r="I83" s="10">
        <v>5705</v>
      </c>
      <c r="J83" s="7" t="s">
        <v>46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1.4259000000000001E-2</v>
      </c>
      <c r="S83" s="11">
        <v>1.4259000000000001E-2</v>
      </c>
      <c r="T83" s="13">
        <v>0</v>
      </c>
      <c r="U83" s="13">
        <v>0</v>
      </c>
      <c r="V83" s="15">
        <v>0</v>
      </c>
    </row>
    <row r="84" spans="1:22" ht="14.25" customHeight="1" x14ac:dyDescent="0.35">
      <c r="A84" s="6" t="s">
        <v>74</v>
      </c>
      <c r="B84" s="7" t="s">
        <v>75</v>
      </c>
      <c r="C84" s="7" t="s">
        <v>69</v>
      </c>
      <c r="D84" s="7" t="s">
        <v>70</v>
      </c>
      <c r="E84" s="7" t="s">
        <v>157</v>
      </c>
      <c r="F84" s="7" t="s">
        <v>158</v>
      </c>
      <c r="G84" s="7" t="s">
        <v>76</v>
      </c>
      <c r="H84" s="7" t="s">
        <v>159</v>
      </c>
      <c r="I84" s="10">
        <v>5446426</v>
      </c>
      <c r="J84" s="7" t="s">
        <v>46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1.361602</v>
      </c>
      <c r="S84" s="11">
        <v>1.361602</v>
      </c>
      <c r="T84" s="13">
        <v>0</v>
      </c>
      <c r="U84" s="13">
        <v>0</v>
      </c>
      <c r="V84" s="15">
        <v>0</v>
      </c>
    </row>
    <row r="85" spans="1:22" ht="14.25" customHeight="1" x14ac:dyDescent="0.35">
      <c r="A85" s="6" t="s">
        <v>67</v>
      </c>
      <c r="B85" s="7" t="s">
        <v>68</v>
      </c>
      <c r="C85" s="7" t="s">
        <v>69</v>
      </c>
      <c r="D85" s="7" t="s">
        <v>70</v>
      </c>
      <c r="E85" s="7" t="s">
        <v>160</v>
      </c>
      <c r="F85" s="7" t="s">
        <v>161</v>
      </c>
      <c r="G85" s="7" t="s">
        <v>103</v>
      </c>
      <c r="H85" s="7" t="s">
        <v>110</v>
      </c>
      <c r="I85" s="10">
        <v>46244</v>
      </c>
      <c r="J85" s="7" t="s">
        <v>46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1.848E-2</v>
      </c>
      <c r="S85" s="11">
        <v>1.848E-2</v>
      </c>
      <c r="T85" s="13">
        <v>0</v>
      </c>
      <c r="U85" s="13">
        <v>0</v>
      </c>
      <c r="V85" s="15">
        <v>0</v>
      </c>
    </row>
    <row r="86" spans="1:22" ht="14.25" customHeight="1" x14ac:dyDescent="0.35">
      <c r="A86" s="6" t="s">
        <v>74</v>
      </c>
      <c r="B86" s="7" t="s">
        <v>75</v>
      </c>
      <c r="C86" s="7" t="s">
        <v>69</v>
      </c>
      <c r="D86" s="7" t="s">
        <v>70</v>
      </c>
      <c r="E86" s="7" t="s">
        <v>162</v>
      </c>
      <c r="F86" s="7" t="s">
        <v>163</v>
      </c>
      <c r="G86" s="7" t="s">
        <v>76</v>
      </c>
      <c r="H86" s="7" t="s">
        <v>76</v>
      </c>
      <c r="I86" s="10">
        <v>5455</v>
      </c>
      <c r="J86" s="7" t="s">
        <v>46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1.3637E-2</v>
      </c>
      <c r="S86" s="11">
        <v>1.3637E-2</v>
      </c>
      <c r="T86" s="13">
        <v>0</v>
      </c>
      <c r="U86" s="13">
        <v>0</v>
      </c>
      <c r="V86" s="15">
        <v>0</v>
      </c>
    </row>
    <row r="87" spans="1:22" ht="14.25" customHeight="1" x14ac:dyDescent="0.35">
      <c r="A87" s="6" t="s">
        <v>78</v>
      </c>
      <c r="B87" s="7" t="s">
        <v>79</v>
      </c>
      <c r="C87" s="7" t="s">
        <v>69</v>
      </c>
      <c r="D87" s="7" t="s">
        <v>70</v>
      </c>
      <c r="E87" s="7" t="s">
        <v>162</v>
      </c>
      <c r="F87" s="7" t="s">
        <v>163</v>
      </c>
      <c r="G87" s="7" t="s">
        <v>82</v>
      </c>
      <c r="H87" s="7" t="s">
        <v>65</v>
      </c>
      <c r="I87" s="10">
        <v>27269</v>
      </c>
      <c r="J87" s="7" t="s">
        <v>46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6.8168999999999993E-2</v>
      </c>
      <c r="S87" s="11">
        <v>6.8168999999999993E-2</v>
      </c>
      <c r="T87" s="13">
        <v>0</v>
      </c>
      <c r="U87" s="13">
        <v>0</v>
      </c>
      <c r="V87" s="15">
        <v>0</v>
      </c>
    </row>
    <row r="88" spans="1:22" ht="14.25" customHeight="1" x14ac:dyDescent="0.35">
      <c r="A88" s="6" t="s">
        <v>96</v>
      </c>
      <c r="B88" s="7" t="s">
        <v>79</v>
      </c>
      <c r="C88" s="7" t="s">
        <v>69</v>
      </c>
      <c r="D88" s="7" t="s">
        <v>70</v>
      </c>
      <c r="E88" s="7" t="s">
        <v>162</v>
      </c>
      <c r="F88" s="7" t="s">
        <v>163</v>
      </c>
      <c r="G88" s="7" t="s">
        <v>86</v>
      </c>
      <c r="H88" s="7" t="s">
        <v>102</v>
      </c>
      <c r="I88" s="10">
        <v>16061</v>
      </c>
      <c r="J88" s="7" t="s">
        <v>46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4.0148000000000003E-2</v>
      </c>
      <c r="S88" s="11">
        <v>4.0148000000000003E-2</v>
      </c>
      <c r="T88" s="13">
        <v>0</v>
      </c>
      <c r="U88" s="13">
        <v>0</v>
      </c>
      <c r="V88" s="15">
        <v>0</v>
      </c>
    </row>
    <row r="89" spans="1:22" ht="14.25" customHeight="1" x14ac:dyDescent="0.35">
      <c r="A89" s="6" t="s">
        <v>97</v>
      </c>
      <c r="B89" s="7" t="s">
        <v>98</v>
      </c>
      <c r="C89" s="7" t="s">
        <v>69</v>
      </c>
      <c r="D89" s="7" t="s">
        <v>70</v>
      </c>
      <c r="E89" s="7" t="s">
        <v>164</v>
      </c>
      <c r="F89" s="7" t="s">
        <v>165</v>
      </c>
      <c r="G89" s="7" t="s">
        <v>86</v>
      </c>
      <c r="H89" s="7" t="s">
        <v>65</v>
      </c>
      <c r="I89" s="10">
        <v>1467990</v>
      </c>
      <c r="J89" s="7" t="s">
        <v>46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1.8349709999999999</v>
      </c>
      <c r="S89" s="11">
        <v>1.8349709999999999</v>
      </c>
      <c r="T89" s="13">
        <v>0</v>
      </c>
      <c r="U89" s="13">
        <v>0</v>
      </c>
      <c r="V89" s="15">
        <v>0</v>
      </c>
    </row>
    <row r="90" spans="1:22" ht="14.25" customHeight="1" x14ac:dyDescent="0.35">
      <c r="A90" s="6" t="s">
        <v>67</v>
      </c>
      <c r="B90" s="7" t="s">
        <v>68</v>
      </c>
      <c r="C90" s="7" t="s">
        <v>69</v>
      </c>
      <c r="D90" s="7" t="s">
        <v>70</v>
      </c>
      <c r="E90" s="7" t="s">
        <v>164</v>
      </c>
      <c r="F90" s="7" t="s">
        <v>165</v>
      </c>
      <c r="G90" s="7" t="s">
        <v>103</v>
      </c>
      <c r="H90" s="7" t="s">
        <v>103</v>
      </c>
      <c r="I90" s="10">
        <v>806</v>
      </c>
      <c r="J90" s="7" t="s">
        <v>46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1.0070000000000001E-3</v>
      </c>
      <c r="S90" s="11">
        <v>1.0070000000000001E-3</v>
      </c>
      <c r="T90" s="13">
        <v>0</v>
      </c>
      <c r="U90" s="13">
        <v>0</v>
      </c>
      <c r="V90" s="15">
        <v>0</v>
      </c>
    </row>
    <row r="91" spans="1:22" ht="14.25" customHeight="1" x14ac:dyDescent="0.35">
      <c r="A91" s="6" t="s">
        <v>74</v>
      </c>
      <c r="B91" s="7" t="s">
        <v>75</v>
      </c>
      <c r="C91" s="7" t="s">
        <v>69</v>
      </c>
      <c r="D91" s="7" t="s">
        <v>70</v>
      </c>
      <c r="E91" s="7" t="s">
        <v>164</v>
      </c>
      <c r="F91" s="7" t="s">
        <v>165</v>
      </c>
      <c r="G91" s="7" t="s">
        <v>86</v>
      </c>
      <c r="H91" s="7" t="s">
        <v>95</v>
      </c>
      <c r="I91" s="10">
        <v>3946227</v>
      </c>
      <c r="J91" s="7" t="s">
        <v>46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4.9327500000000004</v>
      </c>
      <c r="S91" s="11">
        <v>4.9327500000000004</v>
      </c>
      <c r="T91" s="13">
        <v>0</v>
      </c>
      <c r="U91" s="13">
        <v>0</v>
      </c>
      <c r="V91" s="15">
        <v>0</v>
      </c>
    </row>
    <row r="92" spans="1:22" ht="14.25" customHeight="1" x14ac:dyDescent="0.35">
      <c r="A92" s="6" t="s">
        <v>90</v>
      </c>
      <c r="B92" s="7" t="s">
        <v>91</v>
      </c>
      <c r="C92" s="7" t="s">
        <v>69</v>
      </c>
      <c r="D92" s="7" t="s">
        <v>70</v>
      </c>
      <c r="E92" s="7" t="s">
        <v>164</v>
      </c>
      <c r="F92" s="7" t="s">
        <v>165</v>
      </c>
      <c r="G92" s="7" t="s">
        <v>86</v>
      </c>
      <c r="H92" s="7" t="s">
        <v>110</v>
      </c>
      <c r="I92" s="10">
        <v>552639</v>
      </c>
      <c r="J92" s="7" t="s">
        <v>46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0.69079199999999996</v>
      </c>
      <c r="S92" s="11">
        <v>0.69079199999999996</v>
      </c>
      <c r="T92" s="13">
        <v>0</v>
      </c>
      <c r="U92" s="13">
        <v>0</v>
      </c>
      <c r="V92" s="15">
        <v>0</v>
      </c>
    </row>
    <row r="93" spans="1:22" ht="14.25" customHeight="1" x14ac:dyDescent="0.35">
      <c r="A93" s="6" t="s">
        <v>74</v>
      </c>
      <c r="B93" s="7" t="s">
        <v>75</v>
      </c>
      <c r="C93" s="7" t="s">
        <v>69</v>
      </c>
      <c r="D93" s="7" t="s">
        <v>70</v>
      </c>
      <c r="E93" s="7" t="s">
        <v>166</v>
      </c>
      <c r="F93" s="7" t="s">
        <v>167</v>
      </c>
      <c r="G93" s="7" t="s">
        <v>119</v>
      </c>
      <c r="H93" s="7" t="s">
        <v>59</v>
      </c>
      <c r="I93" s="10">
        <v>14706</v>
      </c>
      <c r="J93" s="7" t="s">
        <v>46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2.6440000000000001E-3</v>
      </c>
      <c r="S93" s="11">
        <v>2.6440000000000001E-3</v>
      </c>
      <c r="T93" s="13">
        <v>0</v>
      </c>
      <c r="U93" s="13">
        <v>0</v>
      </c>
      <c r="V93" s="15">
        <v>0</v>
      </c>
    </row>
    <row r="94" spans="1:22" ht="14.25" customHeight="1" x14ac:dyDescent="0.35">
      <c r="A94" s="6" t="s">
        <v>74</v>
      </c>
      <c r="B94" s="7" t="s">
        <v>75</v>
      </c>
      <c r="C94" s="7" t="s">
        <v>69</v>
      </c>
      <c r="D94" s="7" t="s">
        <v>70</v>
      </c>
      <c r="E94" s="7" t="s">
        <v>168</v>
      </c>
      <c r="F94" s="7" t="s">
        <v>169</v>
      </c>
      <c r="G94" s="7" t="s">
        <v>86</v>
      </c>
      <c r="H94" s="7" t="s">
        <v>87</v>
      </c>
      <c r="I94" s="10">
        <v>949903</v>
      </c>
      <c r="J94" s="7" t="s">
        <v>46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14.248545</v>
      </c>
      <c r="S94" s="11">
        <v>14.248545</v>
      </c>
      <c r="T94" s="13">
        <v>0</v>
      </c>
      <c r="U94" s="13">
        <v>0</v>
      </c>
      <c r="V94" s="15">
        <v>0</v>
      </c>
    </row>
    <row r="95" spans="1:22" ht="14.25" customHeight="1" x14ac:dyDescent="0.35">
      <c r="A95" s="6" t="s">
        <v>74</v>
      </c>
      <c r="B95" s="7" t="s">
        <v>75</v>
      </c>
      <c r="C95" s="7" t="s">
        <v>69</v>
      </c>
      <c r="D95" s="7" t="s">
        <v>70</v>
      </c>
      <c r="E95" s="7" t="s">
        <v>170</v>
      </c>
      <c r="F95" s="7" t="s">
        <v>171</v>
      </c>
      <c r="G95" s="7" t="s">
        <v>119</v>
      </c>
      <c r="H95" s="7" t="s">
        <v>59</v>
      </c>
      <c r="I95" s="10">
        <v>5464588</v>
      </c>
      <c r="J95" s="7" t="s">
        <v>46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0.98362000000000005</v>
      </c>
      <c r="S95" s="11">
        <v>0.98362000000000005</v>
      </c>
      <c r="T95" s="13">
        <v>0</v>
      </c>
      <c r="U95" s="13">
        <v>0</v>
      </c>
      <c r="V95" s="15">
        <v>0</v>
      </c>
    </row>
    <row r="96" spans="1:22" ht="14.25" customHeight="1" x14ac:dyDescent="0.35">
      <c r="A96" s="6" t="s">
        <v>90</v>
      </c>
      <c r="B96" s="7" t="s">
        <v>91</v>
      </c>
      <c r="C96" s="7" t="s">
        <v>69</v>
      </c>
      <c r="D96" s="7" t="s">
        <v>70</v>
      </c>
      <c r="E96" s="7" t="s">
        <v>170</v>
      </c>
      <c r="F96" s="7" t="s">
        <v>171</v>
      </c>
      <c r="G96" s="7" t="s">
        <v>119</v>
      </c>
      <c r="H96" s="7" t="s">
        <v>119</v>
      </c>
      <c r="I96" s="10">
        <v>5790451</v>
      </c>
      <c r="J96" s="7" t="s">
        <v>46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1.042279</v>
      </c>
      <c r="S96" s="11">
        <v>1.042279</v>
      </c>
      <c r="T96" s="13">
        <v>0</v>
      </c>
      <c r="U96" s="13">
        <v>0</v>
      </c>
      <c r="V96" s="15">
        <v>0</v>
      </c>
    </row>
    <row r="97" spans="1:22" ht="14.25" customHeight="1" x14ac:dyDescent="0.35">
      <c r="A97" s="6" t="s">
        <v>90</v>
      </c>
      <c r="B97" s="7" t="s">
        <v>91</v>
      </c>
      <c r="C97" s="7" t="s">
        <v>69</v>
      </c>
      <c r="D97" s="7" t="s">
        <v>70</v>
      </c>
      <c r="E97" s="7" t="s">
        <v>172</v>
      </c>
      <c r="F97" s="7" t="s">
        <v>173</v>
      </c>
      <c r="G97" s="7" t="s">
        <v>156</v>
      </c>
      <c r="H97" s="7" t="s">
        <v>156</v>
      </c>
      <c r="I97" s="10">
        <v>843</v>
      </c>
      <c r="J97" s="7" t="s">
        <v>46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2.1069999999999999E-3</v>
      </c>
      <c r="S97" s="11">
        <v>2.1069999999999999E-3</v>
      </c>
      <c r="T97" s="13">
        <v>0</v>
      </c>
      <c r="U97" s="13">
        <v>0</v>
      </c>
      <c r="V97" s="15">
        <v>0</v>
      </c>
    </row>
    <row r="98" spans="1:22" ht="14.25" customHeight="1" x14ac:dyDescent="0.35">
      <c r="A98" s="6" t="s">
        <v>122</v>
      </c>
      <c r="B98" s="7" t="s">
        <v>123</v>
      </c>
      <c r="C98" s="7" t="s">
        <v>69</v>
      </c>
      <c r="D98" s="7" t="s">
        <v>70</v>
      </c>
      <c r="E98" s="7" t="s">
        <v>172</v>
      </c>
      <c r="F98" s="7" t="s">
        <v>173</v>
      </c>
      <c r="G98" s="7" t="s">
        <v>152</v>
      </c>
      <c r="H98" s="7" t="s">
        <v>87</v>
      </c>
      <c r="I98" s="10">
        <v>560903</v>
      </c>
      <c r="J98" s="7" t="s">
        <v>46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1.4022330000000001</v>
      </c>
      <c r="S98" s="11">
        <v>1.4022330000000001</v>
      </c>
      <c r="T98" s="13">
        <v>0</v>
      </c>
      <c r="U98" s="13">
        <v>0</v>
      </c>
      <c r="V98" s="15">
        <v>0</v>
      </c>
    </row>
    <row r="99" spans="1:22" ht="14.25" customHeight="1" x14ac:dyDescent="0.35">
      <c r="A99" s="6" t="s">
        <v>96</v>
      </c>
      <c r="B99" s="7" t="s">
        <v>79</v>
      </c>
      <c r="C99" s="7" t="s">
        <v>69</v>
      </c>
      <c r="D99" s="7" t="s">
        <v>70</v>
      </c>
      <c r="E99" s="7" t="s">
        <v>172</v>
      </c>
      <c r="F99" s="7" t="s">
        <v>173</v>
      </c>
      <c r="G99" s="7" t="s">
        <v>73</v>
      </c>
      <c r="H99" s="7" t="s">
        <v>87</v>
      </c>
      <c r="I99" s="10">
        <v>29136</v>
      </c>
      <c r="J99" s="7" t="s">
        <v>46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7.2836999999999999E-2</v>
      </c>
      <c r="S99" s="11">
        <v>7.2836999999999999E-2</v>
      </c>
      <c r="T99" s="13">
        <v>0</v>
      </c>
      <c r="U99" s="13">
        <v>0</v>
      </c>
      <c r="V99" s="15">
        <v>0</v>
      </c>
    </row>
    <row r="100" spans="1:22" ht="14.25" customHeight="1" x14ac:dyDescent="0.35">
      <c r="A100" s="6" t="s">
        <v>67</v>
      </c>
      <c r="B100" s="7" t="s">
        <v>68</v>
      </c>
      <c r="C100" s="7" t="s">
        <v>69</v>
      </c>
      <c r="D100" s="7" t="s">
        <v>70</v>
      </c>
      <c r="E100" s="7" t="s">
        <v>172</v>
      </c>
      <c r="F100" s="7" t="s">
        <v>173</v>
      </c>
      <c r="G100" s="7" t="s">
        <v>103</v>
      </c>
      <c r="H100" s="7" t="s">
        <v>128</v>
      </c>
      <c r="I100" s="10">
        <v>2062</v>
      </c>
      <c r="J100" s="7" t="s">
        <v>46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5.1539999999999997E-3</v>
      </c>
      <c r="S100" s="11">
        <v>5.1539999999999997E-3</v>
      </c>
      <c r="T100" s="13">
        <v>0</v>
      </c>
      <c r="U100" s="13">
        <v>0</v>
      </c>
      <c r="V100" s="15">
        <v>0</v>
      </c>
    </row>
    <row r="101" spans="1:22" ht="14.25" customHeight="1" x14ac:dyDescent="0.35">
      <c r="A101" s="6" t="s">
        <v>74</v>
      </c>
      <c r="B101" s="7" t="s">
        <v>75</v>
      </c>
      <c r="C101" s="7" t="s">
        <v>69</v>
      </c>
      <c r="D101" s="7" t="s">
        <v>70</v>
      </c>
      <c r="E101" s="7" t="s">
        <v>172</v>
      </c>
      <c r="F101" s="7" t="s">
        <v>173</v>
      </c>
      <c r="G101" s="7" t="s">
        <v>76</v>
      </c>
      <c r="H101" s="7" t="s">
        <v>156</v>
      </c>
      <c r="I101" s="10">
        <v>3816</v>
      </c>
      <c r="J101" s="7" t="s">
        <v>46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9.5390000000000006E-3</v>
      </c>
      <c r="S101" s="11">
        <v>9.5390000000000006E-3</v>
      </c>
      <c r="T101" s="13">
        <v>0</v>
      </c>
      <c r="U101" s="13">
        <v>0</v>
      </c>
      <c r="V101" s="15">
        <v>0</v>
      </c>
    </row>
    <row r="102" spans="1:22" ht="14.25" customHeight="1" x14ac:dyDescent="0.35">
      <c r="A102" s="6" t="s">
        <v>74</v>
      </c>
      <c r="B102" s="7" t="s">
        <v>75</v>
      </c>
      <c r="C102" s="7" t="s">
        <v>69</v>
      </c>
      <c r="D102" s="7" t="s">
        <v>70</v>
      </c>
      <c r="E102" s="7" t="s">
        <v>174</v>
      </c>
      <c r="F102" s="7" t="s">
        <v>175</v>
      </c>
      <c r="G102" s="7" t="s">
        <v>86</v>
      </c>
      <c r="H102" s="7" t="s">
        <v>65</v>
      </c>
      <c r="I102" s="10">
        <v>145213</v>
      </c>
      <c r="J102" s="7" t="s">
        <v>46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1.4400000000000001E-3</v>
      </c>
      <c r="S102" s="11">
        <v>1.4400000000000001E-3</v>
      </c>
      <c r="T102" s="13">
        <v>0</v>
      </c>
      <c r="U102" s="13">
        <v>0</v>
      </c>
      <c r="V102" s="15">
        <v>0</v>
      </c>
    </row>
    <row r="103" spans="1:22" ht="14.25" customHeight="1" x14ac:dyDescent="0.35">
      <c r="A103" s="6" t="s">
        <v>90</v>
      </c>
      <c r="B103" s="7" t="s">
        <v>91</v>
      </c>
      <c r="C103" s="7" t="s">
        <v>69</v>
      </c>
      <c r="D103" s="7" t="s">
        <v>70</v>
      </c>
      <c r="E103" s="7" t="s">
        <v>174</v>
      </c>
      <c r="F103" s="7" t="s">
        <v>175</v>
      </c>
      <c r="G103" s="7" t="s">
        <v>87</v>
      </c>
      <c r="H103" s="7" t="s">
        <v>110</v>
      </c>
      <c r="I103" s="10">
        <v>17903</v>
      </c>
      <c r="J103" s="7" t="s">
        <v>46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1.7799999999999999E-4</v>
      </c>
      <c r="S103" s="11">
        <v>1.7799999999999999E-4</v>
      </c>
      <c r="T103" s="13">
        <v>0</v>
      </c>
      <c r="U103" s="13">
        <v>0</v>
      </c>
      <c r="V103" s="15">
        <v>0</v>
      </c>
    </row>
    <row r="104" spans="1:22" ht="14.25" customHeight="1" x14ac:dyDescent="0.35">
      <c r="A104" s="6" t="s">
        <v>74</v>
      </c>
      <c r="B104" s="7" t="s">
        <v>75</v>
      </c>
      <c r="C104" s="7" t="s">
        <v>69</v>
      </c>
      <c r="D104" s="7" t="s">
        <v>70</v>
      </c>
      <c r="E104" s="7" t="s">
        <v>176</v>
      </c>
      <c r="F104" s="7" t="s">
        <v>177</v>
      </c>
      <c r="G104" s="7" t="s">
        <v>119</v>
      </c>
      <c r="H104" s="7" t="s">
        <v>59</v>
      </c>
      <c r="I104" s="10">
        <v>2132684</v>
      </c>
      <c r="J104" s="7" t="s">
        <v>46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1.5355259999999999</v>
      </c>
      <c r="S104" s="11">
        <v>1.5355259999999999</v>
      </c>
      <c r="T104" s="13">
        <v>0</v>
      </c>
      <c r="U104" s="13">
        <v>0</v>
      </c>
      <c r="V104" s="15">
        <v>0</v>
      </c>
    </row>
    <row r="105" spans="1:22" ht="14.25" customHeight="1" x14ac:dyDescent="0.35">
      <c r="A105" s="6" t="s">
        <v>90</v>
      </c>
      <c r="B105" s="7" t="s">
        <v>91</v>
      </c>
      <c r="C105" s="7" t="s">
        <v>69</v>
      </c>
      <c r="D105" s="7" t="s">
        <v>70</v>
      </c>
      <c r="E105" s="7" t="s">
        <v>176</v>
      </c>
      <c r="F105" s="7" t="s">
        <v>177</v>
      </c>
      <c r="G105" s="7" t="s">
        <v>119</v>
      </c>
      <c r="H105" s="7" t="s">
        <v>119</v>
      </c>
      <c r="I105" s="10">
        <v>2309054</v>
      </c>
      <c r="J105" s="7" t="s">
        <v>46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1.6625160000000001</v>
      </c>
      <c r="S105" s="11">
        <v>1.6625160000000001</v>
      </c>
      <c r="T105" s="13">
        <v>0</v>
      </c>
      <c r="U105" s="13">
        <v>0</v>
      </c>
      <c r="V105" s="15">
        <v>0</v>
      </c>
    </row>
    <row r="106" spans="1:22" ht="14.25" customHeight="1" x14ac:dyDescent="0.35">
      <c r="A106" s="6" t="s">
        <v>74</v>
      </c>
      <c r="B106" s="7" t="s">
        <v>75</v>
      </c>
      <c r="C106" s="7" t="s">
        <v>69</v>
      </c>
      <c r="D106" s="7" t="s">
        <v>70</v>
      </c>
      <c r="E106" s="7" t="s">
        <v>178</v>
      </c>
      <c r="F106" s="7" t="s">
        <v>179</v>
      </c>
      <c r="G106" s="7" t="s">
        <v>180</v>
      </c>
      <c r="H106" s="7" t="s">
        <v>87</v>
      </c>
      <c r="I106" s="10">
        <v>101609387</v>
      </c>
      <c r="J106" s="7" t="s">
        <v>46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254.02345700000001</v>
      </c>
      <c r="S106" s="11">
        <v>254.02345700000001</v>
      </c>
      <c r="T106" s="13">
        <v>0</v>
      </c>
      <c r="U106" s="13">
        <v>0</v>
      </c>
      <c r="V106" s="15">
        <v>0</v>
      </c>
    </row>
    <row r="107" spans="1:22" ht="14.25" customHeight="1" x14ac:dyDescent="0.35">
      <c r="A107" s="6" t="s">
        <v>78</v>
      </c>
      <c r="B107" s="7" t="s">
        <v>79</v>
      </c>
      <c r="C107" s="7" t="s">
        <v>69</v>
      </c>
      <c r="D107" s="7" t="s">
        <v>70</v>
      </c>
      <c r="E107" s="7" t="s">
        <v>181</v>
      </c>
      <c r="F107" s="7" t="s">
        <v>182</v>
      </c>
      <c r="G107" s="7" t="s">
        <v>119</v>
      </c>
      <c r="H107" s="7" t="s">
        <v>59</v>
      </c>
      <c r="I107" s="10">
        <v>865047</v>
      </c>
      <c r="J107" s="7" t="s">
        <v>46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0.46712100000000001</v>
      </c>
      <c r="S107" s="11">
        <v>0.46712100000000001</v>
      </c>
      <c r="T107" s="13">
        <v>0</v>
      </c>
      <c r="U107" s="13">
        <v>0</v>
      </c>
      <c r="V107" s="15">
        <v>0</v>
      </c>
    </row>
    <row r="108" spans="1:22" ht="14.25" customHeight="1" x14ac:dyDescent="0.35">
      <c r="A108" s="6" t="s">
        <v>74</v>
      </c>
      <c r="B108" s="7" t="s">
        <v>75</v>
      </c>
      <c r="C108" s="7" t="s">
        <v>69</v>
      </c>
      <c r="D108" s="7" t="s">
        <v>70</v>
      </c>
      <c r="E108" s="7" t="s">
        <v>183</v>
      </c>
      <c r="F108" s="7" t="s">
        <v>184</v>
      </c>
      <c r="G108" s="7" t="s">
        <v>87</v>
      </c>
      <c r="H108" s="7" t="s">
        <v>87</v>
      </c>
      <c r="I108" s="10">
        <v>296</v>
      </c>
      <c r="J108" s="7" t="s">
        <v>46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4.44E-4</v>
      </c>
      <c r="S108" s="11">
        <v>4.44E-4</v>
      </c>
      <c r="T108" s="13">
        <v>0</v>
      </c>
      <c r="U108" s="13">
        <v>0</v>
      </c>
      <c r="V108" s="15">
        <v>0</v>
      </c>
    </row>
    <row r="109" spans="1:22" ht="14.25" customHeight="1" x14ac:dyDescent="0.35">
      <c r="A109" s="6" t="s">
        <v>122</v>
      </c>
      <c r="B109" s="7" t="s">
        <v>123</v>
      </c>
      <c r="C109" s="7" t="s">
        <v>69</v>
      </c>
      <c r="D109" s="7" t="s">
        <v>70</v>
      </c>
      <c r="E109" s="7" t="s">
        <v>183</v>
      </c>
      <c r="F109" s="7" t="s">
        <v>184</v>
      </c>
      <c r="G109" s="7" t="s">
        <v>119</v>
      </c>
      <c r="H109" s="7" t="s">
        <v>119</v>
      </c>
      <c r="I109" s="10">
        <v>266</v>
      </c>
      <c r="J109" s="7" t="s">
        <v>46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3.9899999999999999E-4</v>
      </c>
      <c r="S109" s="11">
        <v>3.9899999999999999E-4</v>
      </c>
      <c r="T109" s="13">
        <v>0</v>
      </c>
      <c r="U109" s="13">
        <v>0</v>
      </c>
      <c r="V109" s="15">
        <v>0</v>
      </c>
    </row>
    <row r="110" spans="1:22" ht="14.25" customHeight="1" x14ac:dyDescent="0.35">
      <c r="A110" s="6" t="s">
        <v>90</v>
      </c>
      <c r="B110" s="7" t="s">
        <v>91</v>
      </c>
      <c r="C110" s="7" t="s">
        <v>69</v>
      </c>
      <c r="D110" s="7" t="s">
        <v>70</v>
      </c>
      <c r="E110" s="7" t="s">
        <v>185</v>
      </c>
      <c r="F110" s="7" t="s">
        <v>186</v>
      </c>
      <c r="G110" s="7" t="s">
        <v>119</v>
      </c>
      <c r="H110" s="7" t="s">
        <v>59</v>
      </c>
      <c r="I110" s="10">
        <v>49061</v>
      </c>
      <c r="J110" s="7" t="s">
        <v>46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0.110386</v>
      </c>
      <c r="S110" s="11">
        <v>0.110386</v>
      </c>
      <c r="T110" s="13">
        <v>0</v>
      </c>
      <c r="U110" s="13">
        <v>0</v>
      </c>
      <c r="V110" s="15">
        <v>0</v>
      </c>
    </row>
    <row r="111" spans="1:22" ht="14.25" customHeight="1" x14ac:dyDescent="0.35">
      <c r="A111" s="6" t="s">
        <v>74</v>
      </c>
      <c r="B111" s="7" t="s">
        <v>75</v>
      </c>
      <c r="C111" s="7" t="s">
        <v>69</v>
      </c>
      <c r="D111" s="7" t="s">
        <v>70</v>
      </c>
      <c r="E111" s="7" t="s">
        <v>185</v>
      </c>
      <c r="F111" s="7" t="s">
        <v>186</v>
      </c>
      <c r="G111" s="7" t="s">
        <v>119</v>
      </c>
      <c r="H111" s="7" t="s">
        <v>59</v>
      </c>
      <c r="I111" s="10">
        <v>2031</v>
      </c>
      <c r="J111" s="7" t="s">
        <v>46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4.5690000000000001E-3</v>
      </c>
      <c r="S111" s="11">
        <v>4.5690000000000001E-3</v>
      </c>
      <c r="T111" s="13">
        <v>0</v>
      </c>
      <c r="U111" s="13">
        <v>0</v>
      </c>
      <c r="V111" s="15">
        <v>0</v>
      </c>
    </row>
    <row r="112" spans="1:22" ht="14.25" customHeight="1" x14ac:dyDescent="0.35">
      <c r="A112" s="6" t="s">
        <v>97</v>
      </c>
      <c r="B112" s="7" t="s">
        <v>98</v>
      </c>
      <c r="C112" s="7" t="s">
        <v>69</v>
      </c>
      <c r="D112" s="7" t="s">
        <v>70</v>
      </c>
      <c r="E112" s="7" t="s">
        <v>185</v>
      </c>
      <c r="F112" s="7" t="s">
        <v>186</v>
      </c>
      <c r="G112" s="7" t="s">
        <v>82</v>
      </c>
      <c r="H112" s="7" t="s">
        <v>59</v>
      </c>
      <c r="I112" s="10">
        <v>1326483</v>
      </c>
      <c r="J112" s="7" t="s">
        <v>46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2.9845799999999998</v>
      </c>
      <c r="S112" s="11">
        <v>2.9845799999999998</v>
      </c>
      <c r="T112" s="13">
        <v>0</v>
      </c>
      <c r="U112" s="13">
        <v>0</v>
      </c>
      <c r="V112" s="15">
        <v>0</v>
      </c>
    </row>
    <row r="113" spans="1:22" ht="14.25" customHeight="1" x14ac:dyDescent="0.35">
      <c r="A113" s="6" t="s">
        <v>74</v>
      </c>
      <c r="B113" s="7" t="s">
        <v>75</v>
      </c>
      <c r="C113" s="7" t="s">
        <v>69</v>
      </c>
      <c r="D113" s="7" t="s">
        <v>70</v>
      </c>
      <c r="E113" s="7" t="s">
        <v>187</v>
      </c>
      <c r="F113" s="7" t="s">
        <v>188</v>
      </c>
      <c r="G113" s="7" t="s">
        <v>76</v>
      </c>
      <c r="H113" s="7" t="s">
        <v>95</v>
      </c>
      <c r="I113" s="10">
        <v>1310</v>
      </c>
      <c r="J113" s="7" t="s">
        <v>46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7.7999999999999999E-4</v>
      </c>
      <c r="S113" s="11">
        <v>7.7999999999999999E-4</v>
      </c>
      <c r="T113" s="13">
        <v>0</v>
      </c>
      <c r="U113" s="13">
        <v>0</v>
      </c>
      <c r="V113" s="15">
        <v>0</v>
      </c>
    </row>
    <row r="114" spans="1:22" ht="14.25" customHeight="1" x14ac:dyDescent="0.35">
      <c r="A114" s="6" t="s">
        <v>96</v>
      </c>
      <c r="B114" s="7" t="s">
        <v>79</v>
      </c>
      <c r="C114" s="7" t="s">
        <v>69</v>
      </c>
      <c r="D114" s="7" t="s">
        <v>70</v>
      </c>
      <c r="E114" s="7" t="s">
        <v>187</v>
      </c>
      <c r="F114" s="7" t="s">
        <v>188</v>
      </c>
      <c r="G114" s="7" t="s">
        <v>73</v>
      </c>
      <c r="H114" s="7" t="s">
        <v>73</v>
      </c>
      <c r="I114" s="10">
        <v>37</v>
      </c>
      <c r="J114" s="7" t="s">
        <v>46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2.1999999999999999E-5</v>
      </c>
      <c r="S114" s="11">
        <v>2.1999999999999999E-5</v>
      </c>
      <c r="T114" s="13">
        <v>0</v>
      </c>
      <c r="U114" s="13">
        <v>0</v>
      </c>
      <c r="V114" s="15">
        <v>0</v>
      </c>
    </row>
    <row r="115" spans="1:22" ht="14.25" customHeight="1" x14ac:dyDescent="0.35">
      <c r="A115" s="6" t="s">
        <v>90</v>
      </c>
      <c r="B115" s="7" t="s">
        <v>91</v>
      </c>
      <c r="C115" s="7" t="s">
        <v>69</v>
      </c>
      <c r="D115" s="7" t="s">
        <v>70</v>
      </c>
      <c r="E115" s="7" t="s">
        <v>187</v>
      </c>
      <c r="F115" s="7" t="s">
        <v>188</v>
      </c>
      <c r="G115" s="7" t="s">
        <v>86</v>
      </c>
      <c r="H115" s="7" t="s">
        <v>94</v>
      </c>
      <c r="I115" s="10">
        <v>6</v>
      </c>
      <c r="J115" s="7" t="s">
        <v>46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1.9999999999999999E-6</v>
      </c>
      <c r="S115" s="11">
        <v>1.9999999999999999E-6</v>
      </c>
      <c r="T115" s="13">
        <v>0</v>
      </c>
      <c r="U115" s="13">
        <v>0</v>
      </c>
      <c r="V115" s="15">
        <v>0</v>
      </c>
    </row>
    <row r="116" spans="1:22" ht="14.25" customHeight="1" x14ac:dyDescent="0.35">
      <c r="A116" s="6" t="s">
        <v>97</v>
      </c>
      <c r="B116" s="7" t="s">
        <v>98</v>
      </c>
      <c r="C116" s="7" t="s">
        <v>69</v>
      </c>
      <c r="D116" s="7" t="s">
        <v>70</v>
      </c>
      <c r="E116" s="7" t="s">
        <v>187</v>
      </c>
      <c r="F116" s="7" t="s">
        <v>188</v>
      </c>
      <c r="G116" s="7" t="s">
        <v>86</v>
      </c>
      <c r="H116" s="7" t="s">
        <v>95</v>
      </c>
      <c r="I116" s="10">
        <v>214365890</v>
      </c>
      <c r="J116" s="7" t="s">
        <v>46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128.619057</v>
      </c>
      <c r="S116" s="11">
        <v>128.619057</v>
      </c>
      <c r="T116" s="13">
        <v>0</v>
      </c>
      <c r="U116" s="13">
        <v>0</v>
      </c>
      <c r="V116" s="15">
        <v>0</v>
      </c>
    </row>
    <row r="117" spans="1:22" ht="14.25" customHeight="1" x14ac:dyDescent="0.35">
      <c r="A117" s="6" t="s">
        <v>74</v>
      </c>
      <c r="B117" s="7" t="s">
        <v>75</v>
      </c>
      <c r="C117" s="7" t="s">
        <v>69</v>
      </c>
      <c r="D117" s="7" t="s">
        <v>70</v>
      </c>
      <c r="E117" s="7" t="s">
        <v>189</v>
      </c>
      <c r="F117" s="7" t="s">
        <v>190</v>
      </c>
      <c r="G117" s="7" t="s">
        <v>64</v>
      </c>
      <c r="H117" s="7" t="s">
        <v>65</v>
      </c>
      <c r="I117" s="10">
        <v>17608653</v>
      </c>
      <c r="J117" s="7" t="s">
        <v>46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176.08653000000001</v>
      </c>
      <c r="S117" s="11">
        <v>176.08653000000001</v>
      </c>
      <c r="T117" s="13">
        <v>0</v>
      </c>
      <c r="U117" s="13">
        <v>0</v>
      </c>
      <c r="V117" s="15">
        <v>0</v>
      </c>
    </row>
    <row r="118" spans="1:22" ht="14.25" customHeight="1" x14ac:dyDescent="0.35">
      <c r="A118" s="6" t="s">
        <v>97</v>
      </c>
      <c r="B118" s="7" t="s">
        <v>98</v>
      </c>
      <c r="C118" s="7" t="s">
        <v>69</v>
      </c>
      <c r="D118" s="7" t="s">
        <v>70</v>
      </c>
      <c r="E118" s="7" t="s">
        <v>189</v>
      </c>
      <c r="F118" s="7" t="s">
        <v>190</v>
      </c>
      <c r="G118" s="7" t="s">
        <v>64</v>
      </c>
      <c r="H118" s="7" t="s">
        <v>65</v>
      </c>
      <c r="I118" s="10">
        <v>453972418</v>
      </c>
      <c r="J118" s="7" t="s">
        <v>46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4539.7241800000002</v>
      </c>
      <c r="S118" s="11">
        <v>4539.7241800000002</v>
      </c>
      <c r="T118" s="13">
        <v>0</v>
      </c>
      <c r="U118" s="13">
        <v>0</v>
      </c>
      <c r="V118" s="15">
        <v>0</v>
      </c>
    </row>
    <row r="119" spans="1:22" ht="14.25" customHeight="1" x14ac:dyDescent="0.35">
      <c r="A119" s="6" t="s">
        <v>67</v>
      </c>
      <c r="B119" s="7" t="s">
        <v>68</v>
      </c>
      <c r="C119" s="7" t="s">
        <v>69</v>
      </c>
      <c r="D119" s="7" t="s">
        <v>70</v>
      </c>
      <c r="E119" s="7" t="s">
        <v>189</v>
      </c>
      <c r="F119" s="7" t="s">
        <v>190</v>
      </c>
      <c r="G119" s="7" t="s">
        <v>86</v>
      </c>
      <c r="H119" s="7" t="s">
        <v>110</v>
      </c>
      <c r="I119" s="10">
        <v>55542</v>
      </c>
      <c r="J119" s="7" t="s">
        <v>46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0.55542000000000002</v>
      </c>
      <c r="S119" s="11">
        <v>0.55542000000000002</v>
      </c>
      <c r="T119" s="13">
        <v>0</v>
      </c>
      <c r="U119" s="13">
        <v>0</v>
      </c>
      <c r="V119" s="15">
        <v>0</v>
      </c>
    </row>
    <row r="120" spans="1:22" ht="14.25" customHeight="1" x14ac:dyDescent="0.35">
      <c r="A120" s="6" t="s">
        <v>90</v>
      </c>
      <c r="B120" s="7" t="s">
        <v>91</v>
      </c>
      <c r="C120" s="7" t="s">
        <v>69</v>
      </c>
      <c r="D120" s="7" t="s">
        <v>70</v>
      </c>
      <c r="E120" s="7" t="s">
        <v>189</v>
      </c>
      <c r="F120" s="7" t="s">
        <v>190</v>
      </c>
      <c r="G120" s="7" t="s">
        <v>64</v>
      </c>
      <c r="H120" s="7" t="s">
        <v>65</v>
      </c>
      <c r="I120" s="10">
        <v>9904966</v>
      </c>
      <c r="J120" s="7" t="s">
        <v>46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99.049660000000003</v>
      </c>
      <c r="S120" s="11">
        <v>99.049660000000003</v>
      </c>
      <c r="T120" s="13">
        <v>0</v>
      </c>
      <c r="U120" s="13">
        <v>0</v>
      </c>
      <c r="V120" s="15">
        <v>0</v>
      </c>
    </row>
    <row r="121" spans="1:22" ht="14.25" customHeight="1" x14ac:dyDescent="0.35">
      <c r="A121" s="6" t="s">
        <v>67</v>
      </c>
      <c r="B121" s="7" t="s">
        <v>68</v>
      </c>
      <c r="C121" s="7" t="s">
        <v>69</v>
      </c>
      <c r="D121" s="7" t="s">
        <v>70</v>
      </c>
      <c r="E121" s="7" t="s">
        <v>191</v>
      </c>
      <c r="F121" s="7" t="s">
        <v>192</v>
      </c>
      <c r="G121" s="7" t="s">
        <v>128</v>
      </c>
      <c r="H121" s="7" t="s">
        <v>110</v>
      </c>
      <c r="I121" s="10">
        <v>7624587</v>
      </c>
      <c r="J121" s="7" t="s">
        <v>46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0.38122099999999998</v>
      </c>
      <c r="S121" s="11">
        <v>0.38122099999999998</v>
      </c>
      <c r="T121" s="13">
        <v>0</v>
      </c>
      <c r="U121" s="13">
        <v>0</v>
      </c>
      <c r="V121" s="15">
        <v>0</v>
      </c>
    </row>
    <row r="122" spans="1:22" ht="14.25" customHeight="1" x14ac:dyDescent="0.35">
      <c r="A122" s="6" t="s">
        <v>74</v>
      </c>
      <c r="B122" s="7" t="s">
        <v>75</v>
      </c>
      <c r="C122" s="7" t="s">
        <v>69</v>
      </c>
      <c r="D122" s="7" t="s">
        <v>70</v>
      </c>
      <c r="E122" s="7" t="s">
        <v>193</v>
      </c>
      <c r="F122" s="7" t="s">
        <v>194</v>
      </c>
      <c r="G122" s="7" t="s">
        <v>119</v>
      </c>
      <c r="H122" s="7" t="s">
        <v>59</v>
      </c>
      <c r="I122" s="10">
        <v>957</v>
      </c>
      <c r="J122" s="7" t="s">
        <v>46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1.7226000000000002E-2</v>
      </c>
      <c r="S122" s="11">
        <v>1.7226000000000002E-2</v>
      </c>
      <c r="T122" s="13">
        <v>0</v>
      </c>
      <c r="U122" s="13">
        <v>0</v>
      </c>
      <c r="V122" s="15">
        <v>0</v>
      </c>
    </row>
    <row r="123" spans="1:22" ht="14.25" customHeight="1" x14ac:dyDescent="0.35">
      <c r="A123" s="6" t="s">
        <v>90</v>
      </c>
      <c r="B123" s="7" t="s">
        <v>91</v>
      </c>
      <c r="C123" s="7" t="s">
        <v>69</v>
      </c>
      <c r="D123" s="7" t="s">
        <v>70</v>
      </c>
      <c r="E123" s="7" t="s">
        <v>193</v>
      </c>
      <c r="F123" s="7" t="s">
        <v>194</v>
      </c>
      <c r="G123" s="7" t="s">
        <v>119</v>
      </c>
      <c r="H123" s="7" t="s">
        <v>59</v>
      </c>
      <c r="I123" s="10">
        <v>2152</v>
      </c>
      <c r="J123" s="7" t="s">
        <v>46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3.8736E-2</v>
      </c>
      <c r="S123" s="11">
        <v>3.8736E-2</v>
      </c>
      <c r="T123" s="13">
        <v>0</v>
      </c>
      <c r="U123" s="13">
        <v>0</v>
      </c>
      <c r="V123" s="15">
        <v>0</v>
      </c>
    </row>
    <row r="124" spans="1:22" ht="14.25" customHeight="1" x14ac:dyDescent="0.35">
      <c r="A124" s="6" t="s">
        <v>97</v>
      </c>
      <c r="B124" s="7" t="s">
        <v>98</v>
      </c>
      <c r="C124" s="7" t="s">
        <v>69</v>
      </c>
      <c r="D124" s="7" t="s">
        <v>70</v>
      </c>
      <c r="E124" s="7" t="s">
        <v>193</v>
      </c>
      <c r="F124" s="7" t="s">
        <v>194</v>
      </c>
      <c r="G124" s="7" t="s">
        <v>82</v>
      </c>
      <c r="H124" s="7" t="s">
        <v>59</v>
      </c>
      <c r="I124" s="10">
        <v>13471</v>
      </c>
      <c r="J124" s="7" t="s">
        <v>46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0.242478</v>
      </c>
      <c r="S124" s="11">
        <v>0.242478</v>
      </c>
      <c r="T124" s="13">
        <v>0</v>
      </c>
      <c r="U124" s="13">
        <v>0</v>
      </c>
      <c r="V124" s="15">
        <v>0</v>
      </c>
    </row>
    <row r="125" spans="1:22" ht="14.25" customHeight="1" x14ac:dyDescent="0.35">
      <c r="A125" s="6" t="s">
        <v>97</v>
      </c>
      <c r="B125" s="7" t="s">
        <v>98</v>
      </c>
      <c r="C125" s="7" t="s">
        <v>69</v>
      </c>
      <c r="D125" s="7" t="s">
        <v>70</v>
      </c>
      <c r="E125" s="7" t="s">
        <v>195</v>
      </c>
      <c r="F125" s="7" t="s">
        <v>196</v>
      </c>
      <c r="G125" s="7" t="s">
        <v>94</v>
      </c>
      <c r="H125" s="7" t="s">
        <v>111</v>
      </c>
      <c r="I125" s="10">
        <v>182652</v>
      </c>
      <c r="J125" s="7" t="s">
        <v>46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4.5620000000000001E-3</v>
      </c>
      <c r="S125" s="11">
        <v>4.5620000000000001E-3</v>
      </c>
      <c r="T125" s="13">
        <v>0</v>
      </c>
      <c r="U125" s="13">
        <v>0</v>
      </c>
      <c r="V125" s="15">
        <v>0</v>
      </c>
    </row>
    <row r="126" spans="1:22" ht="14.25" customHeight="1" x14ac:dyDescent="0.35">
      <c r="A126" s="6" t="s">
        <v>74</v>
      </c>
      <c r="B126" s="7" t="s">
        <v>75</v>
      </c>
      <c r="C126" s="7" t="s">
        <v>69</v>
      </c>
      <c r="D126" s="7" t="s">
        <v>70</v>
      </c>
      <c r="E126" s="7" t="s">
        <v>195</v>
      </c>
      <c r="F126" s="7" t="s">
        <v>196</v>
      </c>
      <c r="G126" s="7" t="s">
        <v>76</v>
      </c>
      <c r="H126" s="7" t="s">
        <v>119</v>
      </c>
      <c r="I126" s="10">
        <v>515234</v>
      </c>
      <c r="J126" s="7" t="s">
        <v>46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1.2866000000000001E-2</v>
      </c>
      <c r="S126" s="11">
        <v>1.2866000000000001E-2</v>
      </c>
      <c r="T126" s="13">
        <v>0</v>
      </c>
      <c r="U126" s="13">
        <v>0</v>
      </c>
      <c r="V126" s="15">
        <v>0</v>
      </c>
    </row>
    <row r="127" spans="1:22" ht="14.25" customHeight="1" x14ac:dyDescent="0.35">
      <c r="A127" s="6" t="s">
        <v>78</v>
      </c>
      <c r="B127" s="7" t="s">
        <v>79</v>
      </c>
      <c r="C127" s="7" t="s">
        <v>69</v>
      </c>
      <c r="D127" s="7" t="s">
        <v>70</v>
      </c>
      <c r="E127" s="7" t="s">
        <v>195</v>
      </c>
      <c r="F127" s="7" t="s">
        <v>196</v>
      </c>
      <c r="G127" s="7" t="s">
        <v>82</v>
      </c>
      <c r="H127" s="7" t="s">
        <v>65</v>
      </c>
      <c r="I127" s="10">
        <v>882</v>
      </c>
      <c r="J127" s="7" t="s">
        <v>46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1.2999999999999999E-5</v>
      </c>
      <c r="S127" s="11">
        <v>1.2999999999999999E-5</v>
      </c>
      <c r="T127" s="13">
        <v>0</v>
      </c>
      <c r="U127" s="13">
        <v>0</v>
      </c>
      <c r="V127" s="15">
        <v>0</v>
      </c>
    </row>
    <row r="128" spans="1:22" ht="14.25" customHeight="1" x14ac:dyDescent="0.35">
      <c r="A128" s="6" t="s">
        <v>90</v>
      </c>
      <c r="B128" s="7" t="s">
        <v>91</v>
      </c>
      <c r="C128" s="7" t="s">
        <v>69</v>
      </c>
      <c r="D128" s="7" t="s">
        <v>70</v>
      </c>
      <c r="E128" s="7" t="s">
        <v>195</v>
      </c>
      <c r="F128" s="7" t="s">
        <v>196</v>
      </c>
      <c r="G128" s="7" t="s">
        <v>77</v>
      </c>
      <c r="H128" s="7" t="s">
        <v>119</v>
      </c>
      <c r="I128" s="10">
        <v>596932</v>
      </c>
      <c r="J128" s="7" t="s">
        <v>46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1.4914E-2</v>
      </c>
      <c r="S128" s="11">
        <v>1.4914E-2</v>
      </c>
      <c r="T128" s="13">
        <v>0</v>
      </c>
      <c r="U128" s="13">
        <v>0</v>
      </c>
      <c r="V128" s="15">
        <v>0</v>
      </c>
    </row>
    <row r="129" spans="1:22" ht="14.25" customHeight="1" x14ac:dyDescent="0.35">
      <c r="A129" s="6" t="s">
        <v>74</v>
      </c>
      <c r="B129" s="7" t="s">
        <v>75</v>
      </c>
      <c r="C129" s="7" t="s">
        <v>69</v>
      </c>
      <c r="D129" s="7" t="s">
        <v>70</v>
      </c>
      <c r="E129" s="7" t="s">
        <v>197</v>
      </c>
      <c r="F129" s="7" t="s">
        <v>198</v>
      </c>
      <c r="G129" s="7" t="s">
        <v>86</v>
      </c>
      <c r="H129" s="7" t="s">
        <v>110</v>
      </c>
      <c r="I129" s="10">
        <v>22929616</v>
      </c>
      <c r="J129" s="7" t="s">
        <v>46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2.8660950000000001</v>
      </c>
      <c r="S129" s="11">
        <v>2.8660950000000001</v>
      </c>
      <c r="T129" s="13">
        <v>0</v>
      </c>
      <c r="U129" s="13">
        <v>0</v>
      </c>
      <c r="V129" s="15">
        <v>0</v>
      </c>
    </row>
    <row r="130" spans="1:22" ht="14.25" customHeight="1" x14ac:dyDescent="0.35">
      <c r="A130" s="6" t="s">
        <v>97</v>
      </c>
      <c r="B130" s="7" t="s">
        <v>98</v>
      </c>
      <c r="C130" s="7" t="s">
        <v>69</v>
      </c>
      <c r="D130" s="7" t="s">
        <v>70</v>
      </c>
      <c r="E130" s="7" t="s">
        <v>197</v>
      </c>
      <c r="F130" s="7" t="s">
        <v>198</v>
      </c>
      <c r="G130" s="7" t="s">
        <v>64</v>
      </c>
      <c r="H130" s="7" t="s">
        <v>65</v>
      </c>
      <c r="I130" s="10">
        <v>1769298</v>
      </c>
      <c r="J130" s="7" t="s">
        <v>46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0.22112999999999999</v>
      </c>
      <c r="S130" s="11">
        <v>0.22112999999999999</v>
      </c>
      <c r="T130" s="13">
        <v>0</v>
      </c>
      <c r="U130" s="13">
        <v>0</v>
      </c>
      <c r="V130" s="15">
        <v>0</v>
      </c>
    </row>
    <row r="131" spans="1:22" ht="14.25" customHeight="1" x14ac:dyDescent="0.35">
      <c r="A131" s="6" t="s">
        <v>67</v>
      </c>
      <c r="B131" s="7" t="s">
        <v>68</v>
      </c>
      <c r="C131" s="7" t="s">
        <v>69</v>
      </c>
      <c r="D131" s="7" t="s">
        <v>70</v>
      </c>
      <c r="E131" s="7" t="s">
        <v>197</v>
      </c>
      <c r="F131" s="7" t="s">
        <v>198</v>
      </c>
      <c r="G131" s="7" t="s">
        <v>86</v>
      </c>
      <c r="H131" s="7" t="s">
        <v>110</v>
      </c>
      <c r="I131" s="10">
        <v>621552</v>
      </c>
      <c r="J131" s="7" t="s">
        <v>46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7.7687999999999993E-2</v>
      </c>
      <c r="S131" s="11">
        <v>7.7687999999999993E-2</v>
      </c>
      <c r="T131" s="13">
        <v>0</v>
      </c>
      <c r="U131" s="13">
        <v>0</v>
      </c>
      <c r="V131" s="15">
        <v>0</v>
      </c>
    </row>
    <row r="132" spans="1:22" ht="14.25" customHeight="1" x14ac:dyDescent="0.35">
      <c r="A132" s="6" t="s">
        <v>90</v>
      </c>
      <c r="B132" s="7" t="s">
        <v>91</v>
      </c>
      <c r="C132" s="7" t="s">
        <v>69</v>
      </c>
      <c r="D132" s="7" t="s">
        <v>70</v>
      </c>
      <c r="E132" s="7" t="s">
        <v>197</v>
      </c>
      <c r="F132" s="7" t="s">
        <v>198</v>
      </c>
      <c r="G132" s="7" t="s">
        <v>86</v>
      </c>
      <c r="H132" s="7" t="s">
        <v>116</v>
      </c>
      <c r="I132" s="10">
        <v>764017</v>
      </c>
      <c r="J132" s="7" t="s">
        <v>46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9.5487000000000002E-2</v>
      </c>
      <c r="S132" s="11">
        <v>9.5487000000000002E-2</v>
      </c>
      <c r="T132" s="13">
        <v>0</v>
      </c>
      <c r="U132" s="13">
        <v>0</v>
      </c>
      <c r="V132" s="15">
        <v>0</v>
      </c>
    </row>
    <row r="133" spans="1:22" ht="14.25" customHeight="1" x14ac:dyDescent="0.35">
      <c r="A133" s="6" t="s">
        <v>90</v>
      </c>
      <c r="B133" s="7" t="s">
        <v>91</v>
      </c>
      <c r="C133" s="7" t="s">
        <v>69</v>
      </c>
      <c r="D133" s="7" t="s">
        <v>70</v>
      </c>
      <c r="E133" s="7" t="s">
        <v>199</v>
      </c>
      <c r="F133" s="7" t="s">
        <v>200</v>
      </c>
      <c r="G133" s="7" t="s">
        <v>129</v>
      </c>
      <c r="H133" s="7" t="s">
        <v>82</v>
      </c>
      <c r="I133" s="10">
        <v>193136</v>
      </c>
      <c r="J133" s="7" t="s">
        <v>46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0.386272</v>
      </c>
      <c r="S133" s="11">
        <v>0.386272</v>
      </c>
      <c r="T133" s="13">
        <v>0</v>
      </c>
      <c r="U133" s="13">
        <v>0</v>
      </c>
      <c r="V133" s="15">
        <v>0</v>
      </c>
    </row>
    <row r="134" spans="1:22" ht="14.25" customHeight="1" x14ac:dyDescent="0.35">
      <c r="A134" s="6" t="s">
        <v>67</v>
      </c>
      <c r="B134" s="7" t="s">
        <v>68</v>
      </c>
      <c r="C134" s="7" t="s">
        <v>69</v>
      </c>
      <c r="D134" s="7" t="s">
        <v>70</v>
      </c>
      <c r="E134" s="7" t="s">
        <v>199</v>
      </c>
      <c r="F134" s="7" t="s">
        <v>200</v>
      </c>
      <c r="G134" s="7" t="s">
        <v>73</v>
      </c>
      <c r="H134" s="7" t="s">
        <v>65</v>
      </c>
      <c r="I134" s="10">
        <v>6426767</v>
      </c>
      <c r="J134" s="7" t="s">
        <v>46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12.853534</v>
      </c>
      <c r="S134" s="11">
        <v>12.853534</v>
      </c>
      <c r="T134" s="13">
        <v>0</v>
      </c>
      <c r="U134" s="13">
        <v>0</v>
      </c>
      <c r="V134" s="15">
        <v>0</v>
      </c>
    </row>
    <row r="135" spans="1:22" ht="14.25" customHeight="1" x14ac:dyDescent="0.35">
      <c r="A135" s="6" t="s">
        <v>49</v>
      </c>
      <c r="B135" s="7" t="s">
        <v>50</v>
      </c>
      <c r="C135" s="7" t="s">
        <v>69</v>
      </c>
      <c r="D135" s="7" t="s">
        <v>70</v>
      </c>
      <c r="E135" s="7" t="s">
        <v>199</v>
      </c>
      <c r="F135" s="7" t="s">
        <v>200</v>
      </c>
      <c r="G135" s="7" t="s">
        <v>102</v>
      </c>
      <c r="H135" s="7" t="s">
        <v>103</v>
      </c>
      <c r="I135" s="10">
        <v>4</v>
      </c>
      <c r="J135" s="7" t="s">
        <v>46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7.9999999999999996E-6</v>
      </c>
      <c r="S135" s="11">
        <v>7.9999999999999996E-6</v>
      </c>
      <c r="T135" s="13">
        <v>0</v>
      </c>
      <c r="U135" s="13">
        <v>0</v>
      </c>
      <c r="V135" s="15">
        <v>0</v>
      </c>
    </row>
    <row r="136" spans="1:22" ht="14.25" customHeight="1" x14ac:dyDescent="0.35">
      <c r="A136" s="6" t="s">
        <v>97</v>
      </c>
      <c r="B136" s="7" t="s">
        <v>98</v>
      </c>
      <c r="C136" s="7" t="s">
        <v>69</v>
      </c>
      <c r="D136" s="7" t="s">
        <v>70</v>
      </c>
      <c r="E136" s="7" t="s">
        <v>199</v>
      </c>
      <c r="F136" s="7" t="s">
        <v>200</v>
      </c>
      <c r="G136" s="7" t="s">
        <v>94</v>
      </c>
      <c r="H136" s="7" t="s">
        <v>95</v>
      </c>
      <c r="I136" s="10">
        <v>44</v>
      </c>
      <c r="J136" s="7" t="s">
        <v>46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8.7999999999999998E-5</v>
      </c>
      <c r="S136" s="11">
        <v>8.7999999999999998E-5</v>
      </c>
      <c r="T136" s="13">
        <v>0</v>
      </c>
      <c r="U136" s="13">
        <v>0</v>
      </c>
      <c r="V136" s="15">
        <v>0</v>
      </c>
    </row>
    <row r="137" spans="1:22" ht="14.25" customHeight="1" x14ac:dyDescent="0.35">
      <c r="A137" s="6" t="s">
        <v>106</v>
      </c>
      <c r="B137" s="7" t="s">
        <v>107</v>
      </c>
      <c r="C137" s="7" t="s">
        <v>69</v>
      </c>
      <c r="D137" s="7" t="s">
        <v>70</v>
      </c>
      <c r="E137" s="7" t="s">
        <v>199</v>
      </c>
      <c r="F137" s="7" t="s">
        <v>200</v>
      </c>
      <c r="G137" s="7" t="s">
        <v>65</v>
      </c>
      <c r="H137" s="7" t="s">
        <v>65</v>
      </c>
      <c r="I137" s="10">
        <v>15</v>
      </c>
      <c r="J137" s="7" t="s">
        <v>46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3.0000000000000001E-5</v>
      </c>
      <c r="S137" s="11">
        <v>3.0000000000000001E-5</v>
      </c>
      <c r="T137" s="13">
        <v>0</v>
      </c>
      <c r="U137" s="13">
        <v>0</v>
      </c>
      <c r="V137" s="15">
        <v>0</v>
      </c>
    </row>
    <row r="138" spans="1:22" ht="14.25" customHeight="1" x14ac:dyDescent="0.35">
      <c r="A138" s="6" t="s">
        <v>74</v>
      </c>
      <c r="B138" s="7" t="s">
        <v>75</v>
      </c>
      <c r="C138" s="7" t="s">
        <v>69</v>
      </c>
      <c r="D138" s="7" t="s">
        <v>70</v>
      </c>
      <c r="E138" s="7" t="s">
        <v>199</v>
      </c>
      <c r="F138" s="7" t="s">
        <v>200</v>
      </c>
      <c r="G138" s="7" t="s">
        <v>76</v>
      </c>
      <c r="H138" s="7" t="s">
        <v>87</v>
      </c>
      <c r="I138" s="10">
        <v>92</v>
      </c>
      <c r="J138" s="7" t="s">
        <v>46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1.84E-4</v>
      </c>
      <c r="S138" s="11">
        <v>1.84E-4</v>
      </c>
      <c r="T138" s="13">
        <v>0</v>
      </c>
      <c r="U138" s="13">
        <v>0</v>
      </c>
      <c r="V138" s="15">
        <v>0</v>
      </c>
    </row>
    <row r="139" spans="1:22" ht="14.25" customHeight="1" x14ac:dyDescent="0.35">
      <c r="A139" s="6" t="s">
        <v>122</v>
      </c>
      <c r="B139" s="7" t="s">
        <v>123</v>
      </c>
      <c r="C139" s="7" t="s">
        <v>69</v>
      </c>
      <c r="D139" s="7" t="s">
        <v>70</v>
      </c>
      <c r="E139" s="7" t="s">
        <v>201</v>
      </c>
      <c r="F139" s="7" t="s">
        <v>202</v>
      </c>
      <c r="G139" s="7" t="s">
        <v>119</v>
      </c>
      <c r="H139" s="7" t="s">
        <v>119</v>
      </c>
      <c r="I139" s="10">
        <v>1080</v>
      </c>
      <c r="J139" s="7" t="s">
        <v>46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2.7E-4</v>
      </c>
      <c r="S139" s="11">
        <v>2.7E-4</v>
      </c>
      <c r="T139" s="13">
        <v>0</v>
      </c>
      <c r="U139" s="13">
        <v>0</v>
      </c>
      <c r="V139" s="15">
        <v>0</v>
      </c>
    </row>
    <row r="140" spans="1:22" ht="14.25" customHeight="1" x14ac:dyDescent="0.35">
      <c r="A140" s="6" t="s">
        <v>74</v>
      </c>
      <c r="B140" s="7" t="s">
        <v>75</v>
      </c>
      <c r="C140" s="7" t="s">
        <v>69</v>
      </c>
      <c r="D140" s="7" t="s">
        <v>70</v>
      </c>
      <c r="E140" s="7" t="s">
        <v>203</v>
      </c>
      <c r="F140" s="7" t="s">
        <v>204</v>
      </c>
      <c r="G140" s="7" t="s">
        <v>119</v>
      </c>
      <c r="H140" s="7" t="s">
        <v>59</v>
      </c>
      <c r="I140" s="10">
        <v>5377</v>
      </c>
      <c r="J140" s="7" t="s">
        <v>46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9.6785999999999997E-2</v>
      </c>
      <c r="S140" s="11">
        <v>9.6785999999999997E-2</v>
      </c>
      <c r="T140" s="13">
        <v>0</v>
      </c>
      <c r="U140" s="13">
        <v>0</v>
      </c>
      <c r="V140" s="15">
        <v>0</v>
      </c>
    </row>
    <row r="141" spans="1:22" ht="14.25" customHeight="1" x14ac:dyDescent="0.35">
      <c r="A141" s="6" t="s">
        <v>97</v>
      </c>
      <c r="B141" s="7" t="s">
        <v>98</v>
      </c>
      <c r="C141" s="7" t="s">
        <v>69</v>
      </c>
      <c r="D141" s="7" t="s">
        <v>70</v>
      </c>
      <c r="E141" s="7" t="s">
        <v>203</v>
      </c>
      <c r="F141" s="7" t="s">
        <v>204</v>
      </c>
      <c r="G141" s="7" t="s">
        <v>82</v>
      </c>
      <c r="H141" s="7" t="s">
        <v>59</v>
      </c>
      <c r="I141" s="10">
        <v>183467</v>
      </c>
      <c r="J141" s="7" t="s">
        <v>46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3.302406</v>
      </c>
      <c r="S141" s="11">
        <v>3.302406</v>
      </c>
      <c r="T141" s="13">
        <v>0</v>
      </c>
      <c r="U141" s="13">
        <v>0</v>
      </c>
      <c r="V141" s="15">
        <v>0</v>
      </c>
    </row>
    <row r="142" spans="1:22" ht="14.25" customHeight="1" x14ac:dyDescent="0.35">
      <c r="A142" s="6" t="s">
        <v>90</v>
      </c>
      <c r="B142" s="7" t="s">
        <v>91</v>
      </c>
      <c r="C142" s="7" t="s">
        <v>69</v>
      </c>
      <c r="D142" s="7" t="s">
        <v>70</v>
      </c>
      <c r="E142" s="7" t="s">
        <v>203</v>
      </c>
      <c r="F142" s="7" t="s">
        <v>204</v>
      </c>
      <c r="G142" s="7" t="s">
        <v>119</v>
      </c>
      <c r="H142" s="7" t="s">
        <v>59</v>
      </c>
      <c r="I142" s="10">
        <v>22422</v>
      </c>
      <c r="J142" s="7" t="s">
        <v>46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0.40359600000000001</v>
      </c>
      <c r="S142" s="11">
        <v>0.40359600000000001</v>
      </c>
      <c r="T142" s="13">
        <v>0</v>
      </c>
      <c r="U142" s="13">
        <v>0</v>
      </c>
      <c r="V142" s="15">
        <v>0</v>
      </c>
    </row>
    <row r="143" spans="1:22" ht="14.25" customHeight="1" x14ac:dyDescent="0.35">
      <c r="A143" s="6" t="s">
        <v>74</v>
      </c>
      <c r="B143" s="7" t="s">
        <v>75</v>
      </c>
      <c r="C143" s="7" t="s">
        <v>69</v>
      </c>
      <c r="D143" s="7" t="s">
        <v>70</v>
      </c>
      <c r="E143" s="7" t="s">
        <v>205</v>
      </c>
      <c r="F143" s="7" t="s">
        <v>206</v>
      </c>
      <c r="G143" s="7" t="s">
        <v>86</v>
      </c>
      <c r="H143" s="7" t="s">
        <v>65</v>
      </c>
      <c r="I143" s="10">
        <v>11587170</v>
      </c>
      <c r="J143" s="7" t="s">
        <v>46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1.1586259999999999</v>
      </c>
      <c r="S143" s="11">
        <v>1.1586259999999999</v>
      </c>
      <c r="T143" s="13">
        <v>0</v>
      </c>
      <c r="U143" s="13">
        <v>0</v>
      </c>
      <c r="V143" s="15">
        <v>0</v>
      </c>
    </row>
    <row r="144" spans="1:22" ht="14.25" customHeight="1" x14ac:dyDescent="0.35">
      <c r="A144" s="6" t="s">
        <v>67</v>
      </c>
      <c r="B144" s="7" t="s">
        <v>68</v>
      </c>
      <c r="C144" s="7" t="s">
        <v>69</v>
      </c>
      <c r="D144" s="7" t="s">
        <v>70</v>
      </c>
      <c r="E144" s="7" t="s">
        <v>205</v>
      </c>
      <c r="F144" s="7" t="s">
        <v>206</v>
      </c>
      <c r="G144" s="7" t="s">
        <v>103</v>
      </c>
      <c r="H144" s="7" t="s">
        <v>110</v>
      </c>
      <c r="I144" s="10">
        <v>3282650</v>
      </c>
      <c r="J144" s="7" t="s">
        <v>46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0.328241</v>
      </c>
      <c r="S144" s="11">
        <v>0.328241</v>
      </c>
      <c r="T144" s="13">
        <v>0</v>
      </c>
      <c r="U144" s="13">
        <v>0</v>
      </c>
      <c r="V144" s="15">
        <v>0</v>
      </c>
    </row>
    <row r="145" spans="1:22" ht="14.25" customHeight="1" x14ac:dyDescent="0.35">
      <c r="A145" s="6" t="s">
        <v>97</v>
      </c>
      <c r="B145" s="7" t="s">
        <v>98</v>
      </c>
      <c r="C145" s="7" t="s">
        <v>69</v>
      </c>
      <c r="D145" s="7" t="s">
        <v>70</v>
      </c>
      <c r="E145" s="7" t="s">
        <v>205</v>
      </c>
      <c r="F145" s="7" t="s">
        <v>206</v>
      </c>
      <c r="G145" s="7" t="s">
        <v>94</v>
      </c>
      <c r="H145" s="7" t="s">
        <v>111</v>
      </c>
      <c r="I145" s="10">
        <v>5981737</v>
      </c>
      <c r="J145" s="7" t="s">
        <v>46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0.59816899999999995</v>
      </c>
      <c r="S145" s="11">
        <v>0.59816899999999995</v>
      </c>
      <c r="T145" s="13">
        <v>0</v>
      </c>
      <c r="U145" s="13">
        <v>0</v>
      </c>
      <c r="V145" s="15">
        <v>0</v>
      </c>
    </row>
    <row r="146" spans="1:22" ht="14.25" customHeight="1" x14ac:dyDescent="0.35">
      <c r="A146" s="6" t="s">
        <v>90</v>
      </c>
      <c r="B146" s="7" t="s">
        <v>91</v>
      </c>
      <c r="C146" s="7" t="s">
        <v>69</v>
      </c>
      <c r="D146" s="7" t="s">
        <v>70</v>
      </c>
      <c r="E146" s="7" t="s">
        <v>205</v>
      </c>
      <c r="F146" s="7" t="s">
        <v>206</v>
      </c>
      <c r="G146" s="7" t="s">
        <v>102</v>
      </c>
      <c r="H146" s="7" t="s">
        <v>82</v>
      </c>
      <c r="I146" s="10">
        <v>13787037</v>
      </c>
      <c r="J146" s="7" t="s">
        <v>46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1.378692</v>
      </c>
      <c r="S146" s="11">
        <v>1.378692</v>
      </c>
      <c r="T146" s="13">
        <v>0</v>
      </c>
      <c r="U146" s="13">
        <v>0</v>
      </c>
      <c r="V146" s="15">
        <v>0</v>
      </c>
    </row>
    <row r="147" spans="1:22" ht="14.25" customHeight="1" x14ac:dyDescent="0.35">
      <c r="A147" s="6" t="s">
        <v>96</v>
      </c>
      <c r="B147" s="7" t="s">
        <v>79</v>
      </c>
      <c r="C147" s="7" t="s">
        <v>69</v>
      </c>
      <c r="D147" s="7" t="s">
        <v>70</v>
      </c>
      <c r="E147" s="7" t="s">
        <v>207</v>
      </c>
      <c r="F147" s="7" t="s">
        <v>208</v>
      </c>
      <c r="G147" s="7" t="s">
        <v>86</v>
      </c>
      <c r="H147" s="7" t="s">
        <v>87</v>
      </c>
      <c r="I147" s="10">
        <v>555889</v>
      </c>
      <c r="J147" s="7" t="s">
        <v>46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0.16675200000000001</v>
      </c>
      <c r="S147" s="11">
        <v>0.16675200000000001</v>
      </c>
      <c r="T147" s="13">
        <v>0</v>
      </c>
      <c r="U147" s="13">
        <v>0</v>
      </c>
      <c r="V147" s="15">
        <v>0</v>
      </c>
    </row>
    <row r="148" spans="1:22" ht="14.25" customHeight="1" x14ac:dyDescent="0.35">
      <c r="A148" s="6" t="s">
        <v>74</v>
      </c>
      <c r="B148" s="7" t="s">
        <v>75</v>
      </c>
      <c r="C148" s="7" t="s">
        <v>69</v>
      </c>
      <c r="D148" s="7" t="s">
        <v>70</v>
      </c>
      <c r="E148" s="7" t="s">
        <v>207</v>
      </c>
      <c r="F148" s="7" t="s">
        <v>208</v>
      </c>
      <c r="G148" s="7" t="s">
        <v>76</v>
      </c>
      <c r="H148" s="7" t="s">
        <v>95</v>
      </c>
      <c r="I148" s="10">
        <v>7531</v>
      </c>
      <c r="J148" s="7" t="s">
        <v>46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2.2569999999999999E-3</v>
      </c>
      <c r="S148" s="11">
        <v>2.2569999999999999E-3</v>
      </c>
      <c r="T148" s="13">
        <v>0</v>
      </c>
      <c r="U148" s="13">
        <v>0</v>
      </c>
      <c r="V148" s="15">
        <v>0</v>
      </c>
    </row>
    <row r="149" spans="1:22" ht="14.25" customHeight="1" x14ac:dyDescent="0.35">
      <c r="A149" s="6" t="s">
        <v>97</v>
      </c>
      <c r="B149" s="7" t="s">
        <v>98</v>
      </c>
      <c r="C149" s="7" t="s">
        <v>69</v>
      </c>
      <c r="D149" s="7" t="s">
        <v>70</v>
      </c>
      <c r="E149" s="7" t="s">
        <v>207</v>
      </c>
      <c r="F149" s="7" t="s">
        <v>208</v>
      </c>
      <c r="G149" s="7" t="s">
        <v>94</v>
      </c>
      <c r="H149" s="7" t="s">
        <v>94</v>
      </c>
      <c r="I149" s="10">
        <v>37</v>
      </c>
      <c r="J149" s="7" t="s">
        <v>46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1.0000000000000001E-5</v>
      </c>
      <c r="S149" s="11">
        <v>1.0000000000000001E-5</v>
      </c>
      <c r="T149" s="13">
        <v>0</v>
      </c>
      <c r="U149" s="13">
        <v>0</v>
      </c>
      <c r="V149" s="15">
        <v>0</v>
      </c>
    </row>
    <row r="150" spans="1:22" ht="14.25" customHeight="1" x14ac:dyDescent="0.35">
      <c r="A150" s="6" t="s">
        <v>90</v>
      </c>
      <c r="B150" s="7" t="s">
        <v>91</v>
      </c>
      <c r="C150" s="7" t="s">
        <v>69</v>
      </c>
      <c r="D150" s="7" t="s">
        <v>70</v>
      </c>
      <c r="E150" s="7" t="s">
        <v>207</v>
      </c>
      <c r="F150" s="7" t="s">
        <v>208</v>
      </c>
      <c r="G150" s="7" t="s">
        <v>156</v>
      </c>
      <c r="H150" s="7" t="s">
        <v>94</v>
      </c>
      <c r="I150" s="10">
        <v>29</v>
      </c>
      <c r="J150" s="7" t="s">
        <v>46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6.9999999999999999E-6</v>
      </c>
      <c r="S150" s="11">
        <v>6.9999999999999999E-6</v>
      </c>
      <c r="T150" s="13">
        <v>0</v>
      </c>
      <c r="U150" s="13">
        <v>0</v>
      </c>
      <c r="V150" s="15">
        <v>0</v>
      </c>
    </row>
    <row r="151" spans="1:22" ht="14.25" customHeight="1" x14ac:dyDescent="0.35">
      <c r="A151" s="6" t="s">
        <v>78</v>
      </c>
      <c r="B151" s="7" t="s">
        <v>79</v>
      </c>
      <c r="C151" s="7" t="s">
        <v>69</v>
      </c>
      <c r="D151" s="7" t="s">
        <v>70</v>
      </c>
      <c r="E151" s="7" t="s">
        <v>207</v>
      </c>
      <c r="F151" s="7" t="s">
        <v>208</v>
      </c>
      <c r="G151" s="7" t="s">
        <v>82</v>
      </c>
      <c r="H151" s="7" t="s">
        <v>65</v>
      </c>
      <c r="I151" s="10">
        <v>513685</v>
      </c>
      <c r="J151" s="7" t="s">
        <v>46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0.15409800000000001</v>
      </c>
      <c r="S151" s="11">
        <v>0.15409800000000001</v>
      </c>
      <c r="T151" s="13">
        <v>0</v>
      </c>
      <c r="U151" s="13">
        <v>0</v>
      </c>
      <c r="V151" s="15">
        <v>0</v>
      </c>
    </row>
    <row r="152" spans="1:22" ht="14.25" customHeight="1" x14ac:dyDescent="0.35">
      <c r="A152" s="6" t="s">
        <v>67</v>
      </c>
      <c r="B152" s="7" t="s">
        <v>68</v>
      </c>
      <c r="C152" s="7" t="s">
        <v>69</v>
      </c>
      <c r="D152" s="7" t="s">
        <v>70</v>
      </c>
      <c r="E152" s="7" t="s">
        <v>207</v>
      </c>
      <c r="F152" s="7" t="s">
        <v>208</v>
      </c>
      <c r="G152" s="7" t="s">
        <v>103</v>
      </c>
      <c r="H152" s="7" t="s">
        <v>128</v>
      </c>
      <c r="I152" s="10">
        <v>38298</v>
      </c>
      <c r="J152" s="7" t="s">
        <v>46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1.1488E-2</v>
      </c>
      <c r="S152" s="11">
        <v>1.1488E-2</v>
      </c>
      <c r="T152" s="13">
        <v>0</v>
      </c>
      <c r="U152" s="13">
        <v>0</v>
      </c>
      <c r="V152" s="15">
        <v>0</v>
      </c>
    </row>
    <row r="153" spans="1:22" ht="14.25" customHeight="1" x14ac:dyDescent="0.35">
      <c r="A153" s="6" t="s">
        <v>122</v>
      </c>
      <c r="B153" s="7" t="s">
        <v>123</v>
      </c>
      <c r="C153" s="7" t="s">
        <v>69</v>
      </c>
      <c r="D153" s="7" t="s">
        <v>70</v>
      </c>
      <c r="E153" s="7" t="s">
        <v>207</v>
      </c>
      <c r="F153" s="7" t="s">
        <v>208</v>
      </c>
      <c r="G153" s="7" t="s">
        <v>152</v>
      </c>
      <c r="H153" s="7" t="s">
        <v>87</v>
      </c>
      <c r="I153" s="10">
        <v>1486014</v>
      </c>
      <c r="J153" s="7" t="s">
        <v>46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0.44576300000000002</v>
      </c>
      <c r="S153" s="11">
        <v>0.44576300000000002</v>
      </c>
      <c r="T153" s="13">
        <v>0</v>
      </c>
      <c r="U153" s="13">
        <v>0</v>
      </c>
      <c r="V153" s="15">
        <v>0</v>
      </c>
    </row>
    <row r="154" spans="1:22" ht="14.25" customHeight="1" x14ac:dyDescent="0.35">
      <c r="A154" s="6" t="s">
        <v>209</v>
      </c>
      <c r="B154" s="7" t="s">
        <v>210</v>
      </c>
      <c r="C154" s="7" t="s">
        <v>211</v>
      </c>
      <c r="D154" s="7" t="s">
        <v>212</v>
      </c>
      <c r="E154" s="7" t="s">
        <v>213</v>
      </c>
      <c r="F154" s="7" t="s">
        <v>214</v>
      </c>
      <c r="G154" s="7" t="s">
        <v>102</v>
      </c>
      <c r="H154" s="7" t="s">
        <v>111</v>
      </c>
      <c r="I154" s="10">
        <v>0</v>
      </c>
      <c r="J154" s="7" t="s">
        <v>215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9.9999999999999995E-7</v>
      </c>
      <c r="S154" s="11">
        <v>9.9999999999999995E-7</v>
      </c>
      <c r="T154" s="13">
        <v>0.14000000000000001</v>
      </c>
      <c r="U154" s="13">
        <v>3.3000000000000002E-2</v>
      </c>
      <c r="V154" s="15">
        <v>0.16839999999999999</v>
      </c>
    </row>
    <row r="155" spans="1:22" ht="14.25" customHeight="1" x14ac:dyDescent="0.35">
      <c r="A155" s="6" t="s">
        <v>47</v>
      </c>
      <c r="B155" s="7" t="s">
        <v>48</v>
      </c>
      <c r="C155" s="7" t="s">
        <v>211</v>
      </c>
      <c r="D155" s="7" t="s">
        <v>212</v>
      </c>
      <c r="E155" s="7" t="s">
        <v>213</v>
      </c>
      <c r="F155" s="7" t="s">
        <v>214</v>
      </c>
      <c r="G155" s="7" t="s">
        <v>152</v>
      </c>
      <c r="H155" s="7" t="s">
        <v>216</v>
      </c>
      <c r="I155" s="10">
        <v>0</v>
      </c>
      <c r="J155" s="7" t="s">
        <v>215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3">
        <v>0.14000000000000001</v>
      </c>
      <c r="U155" s="13">
        <v>3.3000000000000002E-2</v>
      </c>
      <c r="V155" s="15">
        <v>0.16839999999999999</v>
      </c>
    </row>
    <row r="156" spans="1:22" ht="14.25" customHeight="1" x14ac:dyDescent="0.35">
      <c r="A156" s="6" t="s">
        <v>217</v>
      </c>
      <c r="B156" s="7" t="s">
        <v>218</v>
      </c>
      <c r="C156" s="7" t="s">
        <v>211</v>
      </c>
      <c r="D156" s="7" t="s">
        <v>212</v>
      </c>
      <c r="E156" s="7" t="s">
        <v>213</v>
      </c>
      <c r="F156" s="7" t="s">
        <v>214</v>
      </c>
      <c r="G156" s="7" t="s">
        <v>86</v>
      </c>
      <c r="H156" s="7" t="s">
        <v>111</v>
      </c>
      <c r="I156" s="10">
        <v>0</v>
      </c>
      <c r="J156" s="7" t="s">
        <v>215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1.9999999999999999E-6</v>
      </c>
      <c r="S156" s="11">
        <v>1.9999999999999999E-6</v>
      </c>
      <c r="T156" s="13">
        <v>0.14000000000000001</v>
      </c>
      <c r="U156" s="13">
        <v>3.3000000000000002E-2</v>
      </c>
      <c r="V156" s="15">
        <v>0.16839999999999999</v>
      </c>
    </row>
    <row r="157" spans="1:22" ht="14.25" customHeight="1" x14ac:dyDescent="0.35">
      <c r="A157" s="6" t="s">
        <v>217</v>
      </c>
      <c r="B157" s="7" t="s">
        <v>218</v>
      </c>
      <c r="C157" s="7" t="s">
        <v>211</v>
      </c>
      <c r="D157" s="7" t="s">
        <v>212</v>
      </c>
      <c r="E157" s="7" t="s">
        <v>219</v>
      </c>
      <c r="F157" s="7" t="s">
        <v>220</v>
      </c>
      <c r="G157" s="7" t="s">
        <v>102</v>
      </c>
      <c r="H157" s="7" t="s">
        <v>87</v>
      </c>
      <c r="I157" s="10">
        <v>0.68</v>
      </c>
      <c r="J157" s="7" t="s">
        <v>215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3">
        <v>0.14000000000000001</v>
      </c>
      <c r="U157" s="13">
        <v>3.3000000000000002E-2</v>
      </c>
      <c r="V157" s="15">
        <v>0.16839999999999999</v>
      </c>
    </row>
    <row r="158" spans="1:22" ht="14.25" customHeight="1" x14ac:dyDescent="0.35">
      <c r="A158" s="6" t="s">
        <v>40</v>
      </c>
      <c r="B158" s="7" t="s">
        <v>41</v>
      </c>
      <c r="C158" s="7" t="s">
        <v>211</v>
      </c>
      <c r="D158" s="7" t="s">
        <v>212</v>
      </c>
      <c r="E158" s="7" t="s">
        <v>219</v>
      </c>
      <c r="F158" s="7" t="s">
        <v>220</v>
      </c>
      <c r="G158" s="7" t="s">
        <v>73</v>
      </c>
      <c r="H158" s="7" t="s">
        <v>73</v>
      </c>
      <c r="I158" s="10">
        <v>0</v>
      </c>
      <c r="J158" s="7" t="s">
        <v>215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3">
        <v>0.14000000000000001</v>
      </c>
      <c r="U158" s="13">
        <v>3.3000000000000002E-2</v>
      </c>
      <c r="V158" s="15">
        <v>0.16839999999999999</v>
      </c>
    </row>
    <row r="159" spans="1:22" ht="14.25" customHeight="1" x14ac:dyDescent="0.35">
      <c r="A159" s="6" t="s">
        <v>47</v>
      </c>
      <c r="B159" s="7" t="s">
        <v>48</v>
      </c>
      <c r="C159" s="7" t="s">
        <v>211</v>
      </c>
      <c r="D159" s="7" t="s">
        <v>212</v>
      </c>
      <c r="E159" s="7" t="s">
        <v>221</v>
      </c>
      <c r="F159" s="7" t="s">
        <v>222</v>
      </c>
      <c r="G159" s="7" t="s">
        <v>180</v>
      </c>
      <c r="H159" s="7" t="s">
        <v>65</v>
      </c>
      <c r="I159" s="10">
        <v>2.76</v>
      </c>
      <c r="J159" s="7" t="s">
        <v>66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0.237266</v>
      </c>
      <c r="S159" s="11">
        <v>0.229436</v>
      </c>
      <c r="T159" s="13">
        <v>0.14000000000000001</v>
      </c>
      <c r="U159" s="13">
        <v>3.3000000000000002E-2</v>
      </c>
      <c r="V159" s="15">
        <v>0.16839999999999999</v>
      </c>
    </row>
    <row r="160" spans="1:22" ht="14.25" customHeight="1" x14ac:dyDescent="0.35">
      <c r="A160" s="6" t="s">
        <v>40</v>
      </c>
      <c r="B160" s="7" t="s">
        <v>41</v>
      </c>
      <c r="C160" s="7" t="s">
        <v>211</v>
      </c>
      <c r="D160" s="7" t="s">
        <v>212</v>
      </c>
      <c r="E160" s="7" t="s">
        <v>221</v>
      </c>
      <c r="F160" s="7" t="s">
        <v>222</v>
      </c>
      <c r="G160" s="7" t="s">
        <v>64</v>
      </c>
      <c r="H160" s="7" t="s">
        <v>65</v>
      </c>
      <c r="I160" s="10">
        <v>2.9729999999999999</v>
      </c>
      <c r="J160" s="7" t="s">
        <v>66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0.25564700000000001</v>
      </c>
      <c r="S160" s="11">
        <v>0.24721099999999999</v>
      </c>
      <c r="T160" s="13">
        <v>0.14000000000000001</v>
      </c>
      <c r="U160" s="13">
        <v>3.3000000000000002E-2</v>
      </c>
      <c r="V160" s="15">
        <v>0.16839999999999999</v>
      </c>
    </row>
    <row r="161" spans="1:22" ht="14.25" customHeight="1" x14ac:dyDescent="0.35">
      <c r="A161" s="6" t="s">
        <v>49</v>
      </c>
      <c r="B161" s="7" t="s">
        <v>50</v>
      </c>
      <c r="C161" s="7" t="s">
        <v>211</v>
      </c>
      <c r="D161" s="7" t="s">
        <v>212</v>
      </c>
      <c r="E161" s="7" t="s">
        <v>221</v>
      </c>
      <c r="F161" s="7" t="s">
        <v>222</v>
      </c>
      <c r="G161" s="7" t="s">
        <v>86</v>
      </c>
      <c r="H161" s="7" t="s">
        <v>65</v>
      </c>
      <c r="I161" s="10">
        <v>0.99199999999999999</v>
      </c>
      <c r="J161" s="7" t="s">
        <v>66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8.5387000000000005E-2</v>
      </c>
      <c r="S161" s="11">
        <v>8.2569000000000004E-2</v>
      </c>
      <c r="T161" s="13">
        <v>0.14000000000000001</v>
      </c>
      <c r="U161" s="13">
        <v>3.3000000000000002E-2</v>
      </c>
      <c r="V161" s="15">
        <v>0.16839999999999999</v>
      </c>
    </row>
    <row r="162" spans="1:22" ht="14.25" customHeight="1" x14ac:dyDescent="0.35">
      <c r="A162" s="6" t="s">
        <v>209</v>
      </c>
      <c r="B162" s="7" t="s">
        <v>210</v>
      </c>
      <c r="C162" s="7" t="s">
        <v>211</v>
      </c>
      <c r="D162" s="7" t="s">
        <v>212</v>
      </c>
      <c r="E162" s="7" t="s">
        <v>221</v>
      </c>
      <c r="F162" s="7" t="s">
        <v>222</v>
      </c>
      <c r="G162" s="7" t="s">
        <v>102</v>
      </c>
      <c r="H162" s="7" t="s">
        <v>65</v>
      </c>
      <c r="I162" s="10">
        <v>0.55800000000000005</v>
      </c>
      <c r="J162" s="7" t="s">
        <v>66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4.8009000000000003E-2</v>
      </c>
      <c r="S162" s="11">
        <v>4.6425000000000001E-2</v>
      </c>
      <c r="T162" s="13">
        <v>0.14000000000000001</v>
      </c>
      <c r="U162" s="13">
        <v>3.3000000000000002E-2</v>
      </c>
      <c r="V162" s="15">
        <v>0.16839999999999999</v>
      </c>
    </row>
    <row r="163" spans="1:22" ht="14.25" customHeight="1" x14ac:dyDescent="0.35">
      <c r="A163" s="6" t="s">
        <v>217</v>
      </c>
      <c r="B163" s="7" t="s">
        <v>218</v>
      </c>
      <c r="C163" s="7" t="s">
        <v>211</v>
      </c>
      <c r="D163" s="7" t="s">
        <v>212</v>
      </c>
      <c r="E163" s="7" t="s">
        <v>221</v>
      </c>
      <c r="F163" s="7" t="s">
        <v>222</v>
      </c>
      <c r="G163" s="7" t="s">
        <v>86</v>
      </c>
      <c r="H163" s="7" t="s">
        <v>65</v>
      </c>
      <c r="I163" s="10">
        <v>5.0650000000000004</v>
      </c>
      <c r="J163" s="7" t="s">
        <v>66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0.43546000000000001</v>
      </c>
      <c r="S163" s="11">
        <v>0.42109000000000002</v>
      </c>
      <c r="T163" s="13">
        <v>0.14000000000000001</v>
      </c>
      <c r="U163" s="13">
        <v>3.3000000000000002E-2</v>
      </c>
      <c r="V163" s="15">
        <v>0.16839999999999999</v>
      </c>
    </row>
    <row r="164" spans="1:22" ht="14.25" customHeight="1" x14ac:dyDescent="0.35">
      <c r="A164" s="6" t="s">
        <v>40</v>
      </c>
      <c r="B164" s="7" t="s">
        <v>41</v>
      </c>
      <c r="C164" s="7" t="s">
        <v>211</v>
      </c>
      <c r="D164" s="7" t="s">
        <v>212</v>
      </c>
      <c r="E164" s="7" t="s">
        <v>223</v>
      </c>
      <c r="F164" s="7" t="s">
        <v>224</v>
      </c>
      <c r="G164" s="7" t="s">
        <v>86</v>
      </c>
      <c r="H164" s="7" t="s">
        <v>119</v>
      </c>
      <c r="I164" s="10">
        <v>0.51100000000000001</v>
      </c>
      <c r="J164" s="7" t="s">
        <v>215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3">
        <v>0.14000000000000001</v>
      </c>
      <c r="U164" s="13">
        <v>3.3000000000000002E-2</v>
      </c>
      <c r="V164" s="15">
        <v>0.16839999999999999</v>
      </c>
    </row>
    <row r="165" spans="1:22" ht="14.25" customHeight="1" x14ac:dyDescent="0.35">
      <c r="A165" s="6" t="s">
        <v>47</v>
      </c>
      <c r="B165" s="7" t="s">
        <v>48</v>
      </c>
      <c r="C165" s="7" t="s">
        <v>211</v>
      </c>
      <c r="D165" s="7" t="s">
        <v>212</v>
      </c>
      <c r="E165" s="7" t="s">
        <v>223</v>
      </c>
      <c r="F165" s="7" t="s">
        <v>224</v>
      </c>
      <c r="G165" s="7" t="s">
        <v>73</v>
      </c>
      <c r="H165" s="7" t="s">
        <v>153</v>
      </c>
      <c r="I165" s="10">
        <v>0.51100000000000001</v>
      </c>
      <c r="J165" s="7" t="s">
        <v>215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3">
        <v>0.14000000000000001</v>
      </c>
      <c r="U165" s="13">
        <v>3.3000000000000002E-2</v>
      </c>
      <c r="V165" s="15">
        <v>0.16839999999999999</v>
      </c>
    </row>
    <row r="166" spans="1:22" ht="14.25" customHeight="1" x14ac:dyDescent="0.35">
      <c r="A166" s="6" t="s">
        <v>209</v>
      </c>
      <c r="B166" s="7" t="s">
        <v>210</v>
      </c>
      <c r="C166" s="7" t="s">
        <v>211</v>
      </c>
      <c r="D166" s="7" t="s">
        <v>212</v>
      </c>
      <c r="E166" s="7" t="s">
        <v>223</v>
      </c>
      <c r="F166" s="7" t="s">
        <v>224</v>
      </c>
      <c r="G166" s="7" t="s">
        <v>102</v>
      </c>
      <c r="H166" s="7" t="s">
        <v>65</v>
      </c>
      <c r="I166" s="10">
        <v>4.9050000000000002</v>
      </c>
      <c r="J166" s="7" t="s">
        <v>215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3">
        <v>0.14000000000000001</v>
      </c>
      <c r="U166" s="13">
        <v>3.3000000000000002E-2</v>
      </c>
      <c r="V166" s="15">
        <v>0.16839999999999999</v>
      </c>
    </row>
    <row r="167" spans="1:22" ht="14.25" customHeight="1" x14ac:dyDescent="0.35">
      <c r="A167" s="6" t="s">
        <v>217</v>
      </c>
      <c r="B167" s="7" t="s">
        <v>218</v>
      </c>
      <c r="C167" s="7" t="s">
        <v>211</v>
      </c>
      <c r="D167" s="7" t="s">
        <v>212</v>
      </c>
      <c r="E167" s="7" t="s">
        <v>223</v>
      </c>
      <c r="F167" s="7" t="s">
        <v>224</v>
      </c>
      <c r="G167" s="7" t="s">
        <v>86</v>
      </c>
      <c r="H167" s="7" t="s">
        <v>65</v>
      </c>
      <c r="I167" s="10">
        <v>9.6780000000000008</v>
      </c>
      <c r="J167" s="7" t="s">
        <v>215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3">
        <v>0.14000000000000001</v>
      </c>
      <c r="U167" s="13">
        <v>3.3000000000000002E-2</v>
      </c>
      <c r="V167" s="15">
        <v>0.16839999999999999</v>
      </c>
    </row>
    <row r="168" spans="1:22" ht="14.25" customHeight="1" x14ac:dyDescent="0.35">
      <c r="A168" s="6" t="s">
        <v>209</v>
      </c>
      <c r="B168" s="7" t="s">
        <v>210</v>
      </c>
      <c r="C168" s="7" t="s">
        <v>225</v>
      </c>
      <c r="D168" s="7" t="s">
        <v>226</v>
      </c>
      <c r="E168" s="7" t="s">
        <v>227</v>
      </c>
      <c r="F168" s="7" t="s">
        <v>228</v>
      </c>
      <c r="G168" s="7" t="s">
        <v>102</v>
      </c>
      <c r="H168" s="7" t="s">
        <v>65</v>
      </c>
      <c r="I168" s="10">
        <v>86537.353000000003</v>
      </c>
      <c r="J168" s="7" t="s">
        <v>136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1.338446</v>
      </c>
      <c r="S168" s="11">
        <v>1.2942769999999999</v>
      </c>
      <c r="T168" s="13">
        <v>0.14000000000000001</v>
      </c>
      <c r="U168" s="13">
        <v>3.3000000000000002E-2</v>
      </c>
      <c r="V168" s="15">
        <v>0.16839999999999999</v>
      </c>
    </row>
    <row r="169" spans="1:22" ht="14.25" customHeight="1" x14ac:dyDescent="0.35">
      <c r="A169" s="6" t="s">
        <v>217</v>
      </c>
      <c r="B169" s="7" t="s">
        <v>218</v>
      </c>
      <c r="C169" s="7" t="s">
        <v>225</v>
      </c>
      <c r="D169" s="7" t="s">
        <v>226</v>
      </c>
      <c r="E169" s="7" t="s">
        <v>227</v>
      </c>
      <c r="F169" s="7" t="s">
        <v>228</v>
      </c>
      <c r="G169" s="7" t="s">
        <v>229</v>
      </c>
      <c r="H169" s="7" t="s">
        <v>65</v>
      </c>
      <c r="I169" s="10">
        <v>104497.89</v>
      </c>
      <c r="J169" s="7" t="s">
        <v>136</v>
      </c>
      <c r="K169" s="11">
        <v>0</v>
      </c>
      <c r="L169" s="11">
        <v>0</v>
      </c>
      <c r="M169" s="11">
        <v>0</v>
      </c>
      <c r="N169" s="11">
        <v>-2.4009999999999999E-3</v>
      </c>
      <c r="O169" s="11">
        <v>0</v>
      </c>
      <c r="P169" s="11">
        <v>0</v>
      </c>
      <c r="Q169" s="11">
        <v>0</v>
      </c>
      <c r="R169" s="11">
        <v>1.61358</v>
      </c>
      <c r="S169" s="11">
        <v>1.5603320000000001</v>
      </c>
      <c r="T169" s="13">
        <v>0.14000000000000001</v>
      </c>
      <c r="U169" s="13">
        <v>3.3000000000000002E-2</v>
      </c>
      <c r="V169" s="15">
        <v>0.16839999999999999</v>
      </c>
    </row>
    <row r="170" spans="1:22" ht="14.25" customHeight="1" x14ac:dyDescent="0.35">
      <c r="A170" s="6" t="s">
        <v>209</v>
      </c>
      <c r="B170" s="7" t="s">
        <v>210</v>
      </c>
      <c r="C170" s="7" t="s">
        <v>225</v>
      </c>
      <c r="D170" s="7" t="s">
        <v>226</v>
      </c>
      <c r="E170" s="7" t="s">
        <v>230</v>
      </c>
      <c r="F170" s="7" t="s">
        <v>231</v>
      </c>
      <c r="G170" s="7" t="s">
        <v>102</v>
      </c>
      <c r="H170" s="7" t="s">
        <v>65</v>
      </c>
      <c r="I170" s="10">
        <v>865373.56499999994</v>
      </c>
      <c r="J170" s="7" t="s">
        <v>83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1.487295</v>
      </c>
      <c r="S170" s="11">
        <v>1.4382140000000001</v>
      </c>
      <c r="T170" s="13">
        <v>0.14000000000000001</v>
      </c>
      <c r="U170" s="13">
        <v>3.3000000000000002E-2</v>
      </c>
      <c r="V170" s="15">
        <v>0.16839999999999999</v>
      </c>
    </row>
    <row r="171" spans="1:22" ht="14.25" customHeight="1" x14ac:dyDescent="0.35">
      <c r="A171" s="6" t="s">
        <v>217</v>
      </c>
      <c r="B171" s="7" t="s">
        <v>218</v>
      </c>
      <c r="C171" s="7" t="s">
        <v>225</v>
      </c>
      <c r="D171" s="7" t="s">
        <v>226</v>
      </c>
      <c r="E171" s="7" t="s">
        <v>230</v>
      </c>
      <c r="F171" s="7" t="s">
        <v>231</v>
      </c>
      <c r="G171" s="7" t="s">
        <v>229</v>
      </c>
      <c r="H171" s="7" t="s">
        <v>65</v>
      </c>
      <c r="I171" s="10">
        <v>1044978.949</v>
      </c>
      <c r="J171" s="7" t="s">
        <v>83</v>
      </c>
      <c r="K171" s="11">
        <v>0</v>
      </c>
      <c r="L171" s="11">
        <v>0</v>
      </c>
      <c r="M171" s="11">
        <v>0</v>
      </c>
      <c r="N171" s="11">
        <v>-7.6999999999999996E-4</v>
      </c>
      <c r="O171" s="11">
        <v>0</v>
      </c>
      <c r="P171" s="11">
        <v>0</v>
      </c>
      <c r="Q171" s="11">
        <v>0</v>
      </c>
      <c r="R171" s="11">
        <v>1.7949470000000001</v>
      </c>
      <c r="S171" s="11">
        <v>1.735714</v>
      </c>
      <c r="T171" s="13">
        <v>0.14000000000000001</v>
      </c>
      <c r="U171" s="13">
        <v>3.3000000000000002E-2</v>
      </c>
      <c r="V171" s="15">
        <v>0.16839999999999999</v>
      </c>
    </row>
    <row r="172" spans="1:22" ht="14.25" customHeight="1" x14ac:dyDescent="0.35">
      <c r="A172" s="6" t="s">
        <v>209</v>
      </c>
      <c r="B172" s="7" t="s">
        <v>210</v>
      </c>
      <c r="C172" s="7" t="s">
        <v>232</v>
      </c>
      <c r="D172" s="7" t="s">
        <v>233</v>
      </c>
      <c r="E172" s="7" t="s">
        <v>234</v>
      </c>
      <c r="F172" s="7" t="s">
        <v>235</v>
      </c>
      <c r="G172" s="7" t="s">
        <v>103</v>
      </c>
      <c r="H172" s="7" t="s">
        <v>65</v>
      </c>
      <c r="I172" s="10">
        <v>60</v>
      </c>
      <c r="J172" s="7" t="s">
        <v>46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0.16647799999999999</v>
      </c>
      <c r="S172" s="11">
        <v>0.16098399999999999</v>
      </c>
      <c r="T172" s="13">
        <v>0.14000000000000001</v>
      </c>
      <c r="U172" s="13">
        <v>3.3000000000000002E-2</v>
      </c>
      <c r="V172" s="15">
        <v>0.16839999999999999</v>
      </c>
    </row>
    <row r="173" spans="1:22" ht="14.25" customHeight="1" x14ac:dyDescent="0.35">
      <c r="A173" s="6" t="s">
        <v>217</v>
      </c>
      <c r="B173" s="7" t="s">
        <v>218</v>
      </c>
      <c r="C173" s="7" t="s">
        <v>232</v>
      </c>
      <c r="D173" s="7" t="s">
        <v>233</v>
      </c>
      <c r="E173" s="7" t="s">
        <v>234</v>
      </c>
      <c r="F173" s="7" t="s">
        <v>235</v>
      </c>
      <c r="G173" s="7" t="s">
        <v>64</v>
      </c>
      <c r="H173" s="7" t="s">
        <v>65</v>
      </c>
      <c r="I173" s="10">
        <v>93</v>
      </c>
      <c r="J173" s="7" t="s">
        <v>46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0.25637599999999999</v>
      </c>
      <c r="S173" s="11">
        <v>0.247916</v>
      </c>
      <c r="T173" s="13">
        <v>0.14000000000000001</v>
      </c>
      <c r="U173" s="13">
        <v>3.3000000000000002E-2</v>
      </c>
      <c r="V173" s="15">
        <v>0.16839999999999999</v>
      </c>
    </row>
    <row r="174" spans="1:22" ht="14.25" customHeight="1" x14ac:dyDescent="0.35">
      <c r="A174" s="6" t="s">
        <v>40</v>
      </c>
      <c r="B174" s="7" t="s">
        <v>41</v>
      </c>
      <c r="C174" s="7" t="s">
        <v>236</v>
      </c>
      <c r="D174" s="7" t="s">
        <v>237</v>
      </c>
      <c r="E174" s="7" t="s">
        <v>238</v>
      </c>
      <c r="F174" s="7" t="s">
        <v>239</v>
      </c>
      <c r="G174" s="7" t="s">
        <v>240</v>
      </c>
      <c r="H174" s="7" t="s">
        <v>65</v>
      </c>
      <c r="I174" s="10">
        <v>251.08099999999999</v>
      </c>
      <c r="J174" s="7" t="s">
        <v>215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60.320273</v>
      </c>
      <c r="S174" s="11">
        <v>58.329704</v>
      </c>
      <c r="T174" s="13">
        <v>0.4</v>
      </c>
      <c r="U174" s="13">
        <v>3.3000000000000002E-2</v>
      </c>
      <c r="V174" s="15">
        <v>0.41980000000000001</v>
      </c>
    </row>
    <row r="175" spans="1:22" ht="14.25" customHeight="1" x14ac:dyDescent="0.35">
      <c r="A175" s="6" t="s">
        <v>47</v>
      </c>
      <c r="B175" s="7" t="s">
        <v>48</v>
      </c>
      <c r="C175" s="7" t="s">
        <v>236</v>
      </c>
      <c r="D175" s="7" t="s">
        <v>237</v>
      </c>
      <c r="E175" s="7" t="s">
        <v>238</v>
      </c>
      <c r="F175" s="7" t="s">
        <v>239</v>
      </c>
      <c r="G175" s="7" t="s">
        <v>241</v>
      </c>
      <c r="H175" s="7" t="s">
        <v>65</v>
      </c>
      <c r="I175" s="10">
        <v>316.92599999999999</v>
      </c>
      <c r="J175" s="7" t="s">
        <v>215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80.073340000000002</v>
      </c>
      <c r="S175" s="11">
        <v>77.43092</v>
      </c>
      <c r="T175" s="13">
        <v>0.4</v>
      </c>
      <c r="U175" s="13">
        <v>3.3000000000000002E-2</v>
      </c>
      <c r="V175" s="15">
        <v>0.41980000000000001</v>
      </c>
    </row>
    <row r="176" spans="1:22" ht="14.25" customHeight="1" x14ac:dyDescent="0.35">
      <c r="A176" s="6" t="s">
        <v>217</v>
      </c>
      <c r="B176" s="7" t="s">
        <v>218</v>
      </c>
      <c r="C176" s="7" t="s">
        <v>236</v>
      </c>
      <c r="D176" s="7" t="s">
        <v>237</v>
      </c>
      <c r="E176" s="7" t="s">
        <v>238</v>
      </c>
      <c r="F176" s="7" t="s">
        <v>239</v>
      </c>
      <c r="G176" s="7" t="s">
        <v>86</v>
      </c>
      <c r="H176" s="7" t="s">
        <v>65</v>
      </c>
      <c r="I176" s="10">
        <v>98.802000000000007</v>
      </c>
      <c r="J176" s="7" t="s">
        <v>215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14.638463</v>
      </c>
      <c r="S176" s="11">
        <v>14.155393999999999</v>
      </c>
      <c r="T176" s="13">
        <v>0.4</v>
      </c>
      <c r="U176" s="13">
        <v>3.3000000000000002E-2</v>
      </c>
      <c r="V176" s="15">
        <v>0.41980000000000001</v>
      </c>
    </row>
    <row r="177" spans="1:22" ht="14.25" customHeight="1" x14ac:dyDescent="0.35">
      <c r="A177" s="6" t="s">
        <v>49</v>
      </c>
      <c r="B177" s="7" t="s">
        <v>50</v>
      </c>
      <c r="C177" s="7" t="s">
        <v>236</v>
      </c>
      <c r="D177" s="7" t="s">
        <v>237</v>
      </c>
      <c r="E177" s="7" t="s">
        <v>238</v>
      </c>
      <c r="F177" s="7" t="s">
        <v>239</v>
      </c>
      <c r="G177" s="7" t="s">
        <v>240</v>
      </c>
      <c r="H177" s="7" t="s">
        <v>65</v>
      </c>
      <c r="I177" s="10">
        <v>274.197</v>
      </c>
      <c r="J177" s="7" t="s">
        <v>215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67.254965999999996</v>
      </c>
      <c r="S177" s="11">
        <v>65.035551999999996</v>
      </c>
      <c r="T177" s="13">
        <v>0.4</v>
      </c>
      <c r="U177" s="13">
        <v>3.3000000000000002E-2</v>
      </c>
      <c r="V177" s="15">
        <v>0.41980000000000001</v>
      </c>
    </row>
    <row r="178" spans="1:22" ht="14.25" customHeight="1" x14ac:dyDescent="0.35">
      <c r="A178" s="6" t="s">
        <v>209</v>
      </c>
      <c r="B178" s="7" t="s">
        <v>210</v>
      </c>
      <c r="C178" s="7" t="s">
        <v>236</v>
      </c>
      <c r="D178" s="7" t="s">
        <v>237</v>
      </c>
      <c r="E178" s="7" t="s">
        <v>238</v>
      </c>
      <c r="F178" s="7" t="s">
        <v>239</v>
      </c>
      <c r="G178" s="7" t="s">
        <v>102</v>
      </c>
      <c r="H178" s="7" t="s">
        <v>65</v>
      </c>
      <c r="I178" s="10">
        <v>50.863</v>
      </c>
      <c r="J178" s="7" t="s">
        <v>215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0.28352500000000003</v>
      </c>
      <c r="S178" s="11">
        <v>0.274169</v>
      </c>
      <c r="T178" s="13">
        <v>0.4</v>
      </c>
      <c r="U178" s="13">
        <v>3.3000000000000002E-2</v>
      </c>
      <c r="V178" s="15">
        <v>0.41980000000000001</v>
      </c>
    </row>
    <row r="179" spans="1:22" ht="14.25" customHeight="1" x14ac:dyDescent="0.35">
      <c r="A179" s="6" t="s">
        <v>49</v>
      </c>
      <c r="B179" s="7" t="s">
        <v>50</v>
      </c>
      <c r="C179" s="7" t="s">
        <v>236</v>
      </c>
      <c r="D179" s="7" t="s">
        <v>237</v>
      </c>
      <c r="E179" s="7" t="s">
        <v>242</v>
      </c>
      <c r="F179" s="7" t="s">
        <v>243</v>
      </c>
      <c r="G179" s="7" t="s">
        <v>64</v>
      </c>
      <c r="H179" s="7" t="s">
        <v>65</v>
      </c>
      <c r="I179" s="10">
        <v>482.79899999999998</v>
      </c>
      <c r="J179" s="7" t="s">
        <v>66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2.8961009999999998</v>
      </c>
      <c r="S179" s="11">
        <v>2.8005300000000002</v>
      </c>
      <c r="T179" s="13">
        <v>0.4</v>
      </c>
      <c r="U179" s="13">
        <v>3.3000000000000002E-2</v>
      </c>
      <c r="V179" s="15">
        <v>0.41980000000000001</v>
      </c>
    </row>
    <row r="180" spans="1:22" ht="14.25" customHeight="1" x14ac:dyDescent="0.35">
      <c r="A180" s="6" t="s">
        <v>47</v>
      </c>
      <c r="B180" s="7" t="s">
        <v>48</v>
      </c>
      <c r="C180" s="7" t="s">
        <v>244</v>
      </c>
      <c r="D180" s="7" t="s">
        <v>245</v>
      </c>
      <c r="E180" s="7" t="s">
        <v>246</v>
      </c>
      <c r="F180" s="7" t="s">
        <v>247</v>
      </c>
      <c r="G180" s="7" t="s">
        <v>241</v>
      </c>
      <c r="H180" s="7" t="s">
        <v>65</v>
      </c>
      <c r="I180" s="10">
        <v>59163142</v>
      </c>
      <c r="J180" s="7" t="s">
        <v>46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3.0528430000000002</v>
      </c>
      <c r="S180" s="11">
        <v>2.952099</v>
      </c>
      <c r="T180" s="13">
        <v>0.14000000000000001</v>
      </c>
      <c r="U180" s="13">
        <v>3.3000000000000002E-2</v>
      </c>
      <c r="V180" s="15">
        <v>0.16839999999999999</v>
      </c>
    </row>
    <row r="181" spans="1:22" ht="14.25" customHeight="1" x14ac:dyDescent="0.35">
      <c r="A181" s="6" t="s">
        <v>49</v>
      </c>
      <c r="B181" s="7" t="s">
        <v>50</v>
      </c>
      <c r="C181" s="7" t="s">
        <v>244</v>
      </c>
      <c r="D181" s="7" t="s">
        <v>245</v>
      </c>
      <c r="E181" s="7" t="s">
        <v>246</v>
      </c>
      <c r="F181" s="7" t="s">
        <v>247</v>
      </c>
      <c r="G181" s="7" t="s">
        <v>64</v>
      </c>
      <c r="H181" s="7" t="s">
        <v>65</v>
      </c>
      <c r="I181" s="10">
        <v>60341020</v>
      </c>
      <c r="J181" s="7" t="s">
        <v>46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3.11368</v>
      </c>
      <c r="S181" s="11">
        <v>3.010929</v>
      </c>
      <c r="T181" s="13">
        <v>0.14000000000000001</v>
      </c>
      <c r="U181" s="13">
        <v>3.3000000000000002E-2</v>
      </c>
      <c r="V181" s="15">
        <v>0.16839999999999999</v>
      </c>
    </row>
    <row r="182" spans="1:22" ht="14.25" customHeight="1" x14ac:dyDescent="0.35">
      <c r="A182" s="6" t="s">
        <v>209</v>
      </c>
      <c r="B182" s="7" t="s">
        <v>210</v>
      </c>
      <c r="C182" s="7" t="s">
        <v>244</v>
      </c>
      <c r="D182" s="7" t="s">
        <v>245</v>
      </c>
      <c r="E182" s="7" t="s">
        <v>246</v>
      </c>
      <c r="F182" s="7" t="s">
        <v>247</v>
      </c>
      <c r="G182" s="7" t="s">
        <v>59</v>
      </c>
      <c r="H182" s="7" t="s">
        <v>65</v>
      </c>
      <c r="I182" s="10">
        <v>1095534</v>
      </c>
      <c r="J182" s="7" t="s">
        <v>46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5.6534000000000001E-2</v>
      </c>
      <c r="S182" s="11">
        <v>5.4668000000000001E-2</v>
      </c>
      <c r="T182" s="13">
        <v>0.14000000000000001</v>
      </c>
      <c r="U182" s="13">
        <v>3.3000000000000002E-2</v>
      </c>
      <c r="V182" s="15">
        <v>0.16839999999999999</v>
      </c>
    </row>
    <row r="183" spans="1:22" ht="14.25" customHeight="1" x14ac:dyDescent="0.35">
      <c r="A183" s="6" t="s">
        <v>217</v>
      </c>
      <c r="B183" s="7" t="s">
        <v>218</v>
      </c>
      <c r="C183" s="7" t="s">
        <v>244</v>
      </c>
      <c r="D183" s="7" t="s">
        <v>245</v>
      </c>
      <c r="E183" s="7" t="s">
        <v>246</v>
      </c>
      <c r="F183" s="7" t="s">
        <v>247</v>
      </c>
      <c r="G183" s="7" t="s">
        <v>86</v>
      </c>
      <c r="H183" s="7" t="s">
        <v>65</v>
      </c>
      <c r="I183" s="10">
        <v>21617553</v>
      </c>
      <c r="J183" s="7" t="s">
        <v>46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1.1154660000000001</v>
      </c>
      <c r="S183" s="11">
        <v>1.0786560000000001</v>
      </c>
      <c r="T183" s="13">
        <v>0.14000000000000001</v>
      </c>
      <c r="U183" s="13">
        <v>3.3000000000000002E-2</v>
      </c>
      <c r="V183" s="15">
        <v>0.16839999999999999</v>
      </c>
    </row>
    <row r="184" spans="1:22" ht="14.25" customHeight="1" x14ac:dyDescent="0.35">
      <c r="A184" s="6" t="s">
        <v>40</v>
      </c>
      <c r="B184" s="7" t="s">
        <v>41</v>
      </c>
      <c r="C184" s="7" t="s">
        <v>244</v>
      </c>
      <c r="D184" s="7" t="s">
        <v>245</v>
      </c>
      <c r="E184" s="7" t="s">
        <v>246</v>
      </c>
      <c r="F184" s="7" t="s">
        <v>247</v>
      </c>
      <c r="G184" s="7" t="s">
        <v>240</v>
      </c>
      <c r="H184" s="7" t="s">
        <v>65</v>
      </c>
      <c r="I184" s="10">
        <v>64011194</v>
      </c>
      <c r="J184" s="7" t="s">
        <v>46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3.3029480000000002</v>
      </c>
      <c r="S184" s="11">
        <v>3.1939510000000002</v>
      </c>
      <c r="T184" s="13">
        <v>0.14000000000000001</v>
      </c>
      <c r="U184" s="13">
        <v>3.3000000000000002E-2</v>
      </c>
      <c r="V184" s="15">
        <v>0.16839999999999999</v>
      </c>
    </row>
    <row r="185" spans="1:22" ht="14.25" customHeight="1" x14ac:dyDescent="0.35">
      <c r="A185" s="6" t="s">
        <v>49</v>
      </c>
      <c r="B185" s="7" t="s">
        <v>50</v>
      </c>
      <c r="C185" s="7" t="s">
        <v>244</v>
      </c>
      <c r="D185" s="7" t="s">
        <v>245</v>
      </c>
      <c r="E185" s="7" t="s">
        <v>248</v>
      </c>
      <c r="F185" s="7" t="s">
        <v>249</v>
      </c>
      <c r="G185" s="7" t="s">
        <v>94</v>
      </c>
      <c r="H185" s="7" t="s">
        <v>94</v>
      </c>
      <c r="I185" s="10">
        <v>0</v>
      </c>
      <c r="J185" s="7" t="s">
        <v>250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3.9999999999999998E-6</v>
      </c>
      <c r="S185" s="11">
        <v>3.9999999999999998E-6</v>
      </c>
      <c r="T185" s="13">
        <v>0.14000000000000001</v>
      </c>
      <c r="U185" s="13">
        <v>3.3000000000000002E-2</v>
      </c>
      <c r="V185" s="15">
        <v>0.16839999999999999</v>
      </c>
    </row>
    <row r="186" spans="1:22" ht="14.25" customHeight="1" x14ac:dyDescent="0.35">
      <c r="A186" s="6" t="s">
        <v>40</v>
      </c>
      <c r="B186" s="7" t="s">
        <v>41</v>
      </c>
      <c r="C186" s="7" t="s">
        <v>244</v>
      </c>
      <c r="D186" s="7" t="s">
        <v>245</v>
      </c>
      <c r="E186" s="7" t="s">
        <v>248</v>
      </c>
      <c r="F186" s="7" t="s">
        <v>249</v>
      </c>
      <c r="G186" s="7" t="s">
        <v>58</v>
      </c>
      <c r="H186" s="7" t="s">
        <v>94</v>
      </c>
      <c r="I186" s="10">
        <v>0</v>
      </c>
      <c r="J186" s="7" t="s">
        <v>250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7.9999999999999996E-6</v>
      </c>
      <c r="S186" s="11">
        <v>7.9999999999999996E-6</v>
      </c>
      <c r="T186" s="13">
        <v>0.14000000000000001</v>
      </c>
      <c r="U186" s="13">
        <v>3.3000000000000002E-2</v>
      </c>
      <c r="V186" s="15">
        <v>0.16839999999999999</v>
      </c>
    </row>
    <row r="187" spans="1:22" ht="14.25" customHeight="1" x14ac:dyDescent="0.35">
      <c r="A187" s="6" t="s">
        <v>47</v>
      </c>
      <c r="B187" s="7" t="s">
        <v>48</v>
      </c>
      <c r="C187" s="7" t="s">
        <v>244</v>
      </c>
      <c r="D187" s="7" t="s">
        <v>245</v>
      </c>
      <c r="E187" s="7" t="s">
        <v>248</v>
      </c>
      <c r="F187" s="7" t="s">
        <v>249</v>
      </c>
      <c r="G187" s="7" t="s">
        <v>86</v>
      </c>
      <c r="H187" s="7" t="s">
        <v>251</v>
      </c>
      <c r="I187" s="10">
        <v>0</v>
      </c>
      <c r="J187" s="7" t="s">
        <v>250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9.0000000000000002E-6</v>
      </c>
      <c r="S187" s="11">
        <v>9.0000000000000002E-6</v>
      </c>
      <c r="T187" s="13">
        <v>0.14000000000000001</v>
      </c>
      <c r="U187" s="13">
        <v>3.3000000000000002E-2</v>
      </c>
      <c r="V187" s="15">
        <v>0.16839999999999999</v>
      </c>
    </row>
    <row r="188" spans="1:22" ht="14.25" customHeight="1" x14ac:dyDescent="0.35">
      <c r="A188" s="6" t="s">
        <v>209</v>
      </c>
      <c r="B188" s="7" t="s">
        <v>210</v>
      </c>
      <c r="C188" s="7" t="s">
        <v>244</v>
      </c>
      <c r="D188" s="7" t="s">
        <v>245</v>
      </c>
      <c r="E188" s="7" t="s">
        <v>248</v>
      </c>
      <c r="F188" s="7" t="s">
        <v>249</v>
      </c>
      <c r="G188" s="7" t="s">
        <v>102</v>
      </c>
      <c r="H188" s="7" t="s">
        <v>65</v>
      </c>
      <c r="I188" s="10">
        <v>0</v>
      </c>
      <c r="J188" s="7" t="s">
        <v>250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8.8999999999999995E-5</v>
      </c>
      <c r="S188" s="11">
        <v>8.6000000000000003E-5</v>
      </c>
      <c r="T188" s="13">
        <v>0.14000000000000001</v>
      </c>
      <c r="U188" s="13">
        <v>3.3000000000000002E-2</v>
      </c>
      <c r="V188" s="15">
        <v>0.16839999999999999</v>
      </c>
    </row>
    <row r="189" spans="1:22" ht="14.25" customHeight="1" x14ac:dyDescent="0.35">
      <c r="A189" s="6" t="s">
        <v>217</v>
      </c>
      <c r="B189" s="7" t="s">
        <v>218</v>
      </c>
      <c r="C189" s="7" t="s">
        <v>244</v>
      </c>
      <c r="D189" s="7" t="s">
        <v>245</v>
      </c>
      <c r="E189" s="7" t="s">
        <v>248</v>
      </c>
      <c r="F189" s="7" t="s">
        <v>249</v>
      </c>
      <c r="G189" s="7" t="s">
        <v>86</v>
      </c>
      <c r="H189" s="7" t="s">
        <v>65</v>
      </c>
      <c r="I189" s="10">
        <v>1E-3</v>
      </c>
      <c r="J189" s="7" t="s">
        <v>250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1.2E-4</v>
      </c>
      <c r="S189" s="11">
        <v>1.16E-4</v>
      </c>
      <c r="T189" s="13">
        <v>0.14000000000000001</v>
      </c>
      <c r="U189" s="13">
        <v>3.3000000000000002E-2</v>
      </c>
      <c r="V189" s="15">
        <v>0.16839999999999999</v>
      </c>
    </row>
    <row r="190" spans="1:22" ht="14.25" customHeight="1" x14ac:dyDescent="0.35">
      <c r="A190" s="6" t="s">
        <v>209</v>
      </c>
      <c r="B190" s="7" t="s">
        <v>210</v>
      </c>
      <c r="C190" s="7" t="s">
        <v>252</v>
      </c>
      <c r="D190" s="7" t="s">
        <v>253</v>
      </c>
      <c r="E190" s="7" t="s">
        <v>254</v>
      </c>
      <c r="F190" s="7" t="s">
        <v>255</v>
      </c>
      <c r="G190" s="7" t="s">
        <v>102</v>
      </c>
      <c r="H190" s="7" t="s">
        <v>65</v>
      </c>
      <c r="I190" s="10">
        <v>2512.4969999999998</v>
      </c>
      <c r="J190" s="7" t="s">
        <v>256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121.001649</v>
      </c>
      <c r="S190" s="11">
        <v>117.008595</v>
      </c>
      <c r="T190" s="13">
        <v>0.14000000000000001</v>
      </c>
      <c r="U190" s="13">
        <v>3.3000000000000002E-2</v>
      </c>
      <c r="V190" s="15">
        <v>0.16839999999999999</v>
      </c>
    </row>
    <row r="191" spans="1:22" ht="14.25" customHeight="1" x14ac:dyDescent="0.35">
      <c r="A191" s="6" t="s">
        <v>217</v>
      </c>
      <c r="B191" s="7" t="s">
        <v>218</v>
      </c>
      <c r="C191" s="7" t="s">
        <v>252</v>
      </c>
      <c r="D191" s="7" t="s">
        <v>253</v>
      </c>
      <c r="E191" s="7" t="s">
        <v>254</v>
      </c>
      <c r="F191" s="7" t="s">
        <v>255</v>
      </c>
      <c r="G191" s="7" t="s">
        <v>64</v>
      </c>
      <c r="H191" s="7" t="s">
        <v>65</v>
      </c>
      <c r="I191" s="10">
        <v>3715</v>
      </c>
      <c r="J191" s="7" t="s">
        <v>256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178.91404900000001</v>
      </c>
      <c r="S191" s="11">
        <v>173.009885</v>
      </c>
      <c r="T191" s="13">
        <v>0.14000000000000001</v>
      </c>
      <c r="U191" s="13">
        <v>3.3000000000000002E-2</v>
      </c>
      <c r="V191" s="15">
        <v>0.16839999999999999</v>
      </c>
    </row>
    <row r="192" spans="1:22" ht="14.25" customHeight="1" x14ac:dyDescent="0.35">
      <c r="A192" s="6" t="s">
        <v>209</v>
      </c>
      <c r="B192" s="7" t="s">
        <v>210</v>
      </c>
      <c r="C192" s="7" t="s">
        <v>257</v>
      </c>
      <c r="D192" s="7" t="s">
        <v>258</v>
      </c>
      <c r="E192" s="7" t="s">
        <v>259</v>
      </c>
      <c r="F192" s="7" t="s">
        <v>260</v>
      </c>
      <c r="G192" s="7" t="s">
        <v>103</v>
      </c>
      <c r="H192" s="7" t="s">
        <v>65</v>
      </c>
      <c r="I192" s="10">
        <v>7.4999999999999997E-2</v>
      </c>
      <c r="J192" s="7" t="s">
        <v>215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3">
        <v>0.14000000000000001</v>
      </c>
      <c r="U192" s="13">
        <v>3.3000000000000002E-2</v>
      </c>
      <c r="V192" s="15">
        <v>0.16839999999999999</v>
      </c>
    </row>
    <row r="193" spans="1:22" ht="14.25" customHeight="1" x14ac:dyDescent="0.35">
      <c r="A193" s="6" t="s">
        <v>47</v>
      </c>
      <c r="B193" s="7" t="s">
        <v>48</v>
      </c>
      <c r="C193" s="7" t="s">
        <v>257</v>
      </c>
      <c r="D193" s="7" t="s">
        <v>258</v>
      </c>
      <c r="E193" s="7" t="s">
        <v>259</v>
      </c>
      <c r="F193" s="7" t="s">
        <v>260</v>
      </c>
      <c r="G193" s="7" t="s">
        <v>180</v>
      </c>
      <c r="H193" s="7" t="s">
        <v>65</v>
      </c>
      <c r="I193" s="10">
        <v>0.79400000000000004</v>
      </c>
      <c r="J193" s="7" t="s">
        <v>215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3">
        <v>0.14000000000000001</v>
      </c>
      <c r="U193" s="13">
        <v>3.3000000000000002E-2</v>
      </c>
      <c r="V193" s="15">
        <v>0.16839999999999999</v>
      </c>
    </row>
    <row r="194" spans="1:22" ht="14.25" customHeight="1" x14ac:dyDescent="0.35">
      <c r="A194" s="6" t="s">
        <v>40</v>
      </c>
      <c r="B194" s="7" t="s">
        <v>41</v>
      </c>
      <c r="C194" s="7" t="s">
        <v>257</v>
      </c>
      <c r="D194" s="7" t="s">
        <v>258</v>
      </c>
      <c r="E194" s="7" t="s">
        <v>259</v>
      </c>
      <c r="F194" s="7" t="s">
        <v>260</v>
      </c>
      <c r="G194" s="7" t="s">
        <v>180</v>
      </c>
      <c r="H194" s="7" t="s">
        <v>65</v>
      </c>
      <c r="I194" s="10">
        <v>40.332000000000001</v>
      </c>
      <c r="J194" s="7" t="s">
        <v>215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3">
        <v>0.14000000000000001</v>
      </c>
      <c r="U194" s="13">
        <v>3.3000000000000002E-2</v>
      </c>
      <c r="V194" s="15">
        <v>0.16839999999999999</v>
      </c>
    </row>
    <row r="195" spans="1:22" ht="14.25" customHeight="1" x14ac:dyDescent="0.35">
      <c r="A195" s="6" t="s">
        <v>49</v>
      </c>
      <c r="B195" s="7" t="s">
        <v>50</v>
      </c>
      <c r="C195" s="7" t="s">
        <v>257</v>
      </c>
      <c r="D195" s="7" t="s">
        <v>258</v>
      </c>
      <c r="E195" s="7" t="s">
        <v>259</v>
      </c>
      <c r="F195" s="7" t="s">
        <v>260</v>
      </c>
      <c r="G195" s="7" t="s">
        <v>86</v>
      </c>
      <c r="H195" s="7" t="s">
        <v>65</v>
      </c>
      <c r="I195" s="10">
        <v>1.9E-2</v>
      </c>
      <c r="J195" s="7" t="s">
        <v>215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3">
        <v>0.14000000000000001</v>
      </c>
      <c r="U195" s="13">
        <v>3.3000000000000002E-2</v>
      </c>
      <c r="V195" s="15">
        <v>0.16839999999999999</v>
      </c>
    </row>
    <row r="196" spans="1:22" ht="14.25" customHeight="1" x14ac:dyDescent="0.35">
      <c r="A196" s="6" t="s">
        <v>217</v>
      </c>
      <c r="B196" s="7" t="s">
        <v>218</v>
      </c>
      <c r="C196" s="7" t="s">
        <v>257</v>
      </c>
      <c r="D196" s="7" t="s">
        <v>258</v>
      </c>
      <c r="E196" s="7" t="s">
        <v>259</v>
      </c>
      <c r="F196" s="7" t="s">
        <v>260</v>
      </c>
      <c r="G196" s="7" t="s">
        <v>86</v>
      </c>
      <c r="H196" s="7" t="s">
        <v>65</v>
      </c>
      <c r="I196" s="10">
        <v>1.9219999999999999</v>
      </c>
      <c r="J196" s="7" t="s">
        <v>215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3">
        <v>0.14000000000000001</v>
      </c>
      <c r="U196" s="13">
        <v>3.3000000000000002E-2</v>
      </c>
      <c r="V196" s="15">
        <v>0.16839999999999999</v>
      </c>
    </row>
    <row r="197" spans="1:22" ht="14.25" customHeight="1" x14ac:dyDescent="0.35">
      <c r="A197" s="6" t="s">
        <v>209</v>
      </c>
      <c r="B197" s="7" t="s">
        <v>210</v>
      </c>
      <c r="C197" s="7" t="s">
        <v>257</v>
      </c>
      <c r="D197" s="7" t="s">
        <v>258</v>
      </c>
      <c r="E197" s="7" t="s">
        <v>261</v>
      </c>
      <c r="F197" s="7" t="s">
        <v>262</v>
      </c>
      <c r="G197" s="7" t="s">
        <v>102</v>
      </c>
      <c r="H197" s="7" t="s">
        <v>65</v>
      </c>
      <c r="I197" s="10">
        <v>139.048</v>
      </c>
      <c r="J197" s="7" t="s">
        <v>215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3">
        <v>0.14000000000000001</v>
      </c>
      <c r="U197" s="13">
        <v>3.3000000000000002E-2</v>
      </c>
      <c r="V197" s="15">
        <v>0.16839999999999999</v>
      </c>
    </row>
    <row r="198" spans="1:22" ht="14.25" customHeight="1" x14ac:dyDescent="0.35">
      <c r="A198" s="6" t="s">
        <v>217</v>
      </c>
      <c r="B198" s="7" t="s">
        <v>218</v>
      </c>
      <c r="C198" s="7" t="s">
        <v>257</v>
      </c>
      <c r="D198" s="7" t="s">
        <v>258</v>
      </c>
      <c r="E198" s="7" t="s">
        <v>261</v>
      </c>
      <c r="F198" s="7" t="s">
        <v>262</v>
      </c>
      <c r="G198" s="7" t="s">
        <v>86</v>
      </c>
      <c r="H198" s="7" t="s">
        <v>65</v>
      </c>
      <c r="I198" s="10">
        <v>150.083</v>
      </c>
      <c r="J198" s="7" t="s">
        <v>215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3">
        <v>0.14000000000000001</v>
      </c>
      <c r="U198" s="13">
        <v>3.3000000000000002E-2</v>
      </c>
      <c r="V198" s="15">
        <v>0.16839999999999999</v>
      </c>
    </row>
    <row r="199" spans="1:22" ht="14.25" customHeight="1" x14ac:dyDescent="0.35">
      <c r="A199" s="6" t="s">
        <v>47</v>
      </c>
      <c r="B199" s="7" t="s">
        <v>48</v>
      </c>
      <c r="C199" s="7" t="s">
        <v>257</v>
      </c>
      <c r="D199" s="7" t="s">
        <v>258</v>
      </c>
      <c r="E199" s="7" t="s">
        <v>261</v>
      </c>
      <c r="F199" s="7" t="s">
        <v>262</v>
      </c>
      <c r="G199" s="7" t="s">
        <v>180</v>
      </c>
      <c r="H199" s="7" t="s">
        <v>65</v>
      </c>
      <c r="I199" s="10">
        <v>14.371</v>
      </c>
      <c r="J199" s="7" t="s">
        <v>215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3">
        <v>0.14000000000000001</v>
      </c>
      <c r="U199" s="13">
        <v>3.3000000000000002E-2</v>
      </c>
      <c r="V199" s="15">
        <v>0.16839999999999999</v>
      </c>
    </row>
    <row r="200" spans="1:22" ht="14.25" customHeight="1" x14ac:dyDescent="0.35">
      <c r="A200" s="6" t="s">
        <v>49</v>
      </c>
      <c r="B200" s="7" t="s">
        <v>50</v>
      </c>
      <c r="C200" s="7" t="s">
        <v>257</v>
      </c>
      <c r="D200" s="7" t="s">
        <v>258</v>
      </c>
      <c r="E200" s="7" t="s">
        <v>261</v>
      </c>
      <c r="F200" s="7" t="s">
        <v>262</v>
      </c>
      <c r="G200" s="7" t="s">
        <v>180</v>
      </c>
      <c r="H200" s="7" t="s">
        <v>65</v>
      </c>
      <c r="I200" s="10">
        <v>11.746</v>
      </c>
      <c r="J200" s="7" t="s">
        <v>215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3">
        <v>0.14000000000000001</v>
      </c>
      <c r="U200" s="13">
        <v>3.3000000000000002E-2</v>
      </c>
      <c r="V200" s="15">
        <v>0.16839999999999999</v>
      </c>
    </row>
    <row r="201" spans="1:22" ht="14.25" customHeight="1" x14ac:dyDescent="0.35">
      <c r="A201" s="6" t="s">
        <v>40</v>
      </c>
      <c r="B201" s="7" t="s">
        <v>41</v>
      </c>
      <c r="C201" s="7" t="s">
        <v>257</v>
      </c>
      <c r="D201" s="7" t="s">
        <v>258</v>
      </c>
      <c r="E201" s="7" t="s">
        <v>261</v>
      </c>
      <c r="F201" s="7" t="s">
        <v>262</v>
      </c>
      <c r="G201" s="7" t="s">
        <v>180</v>
      </c>
      <c r="H201" s="7" t="s">
        <v>65</v>
      </c>
      <c r="I201" s="10">
        <v>13.246</v>
      </c>
      <c r="J201" s="7" t="s">
        <v>215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3">
        <v>0.14000000000000001</v>
      </c>
      <c r="U201" s="13">
        <v>3.3000000000000002E-2</v>
      </c>
      <c r="V201" s="15">
        <v>0.16839999999999999</v>
      </c>
    </row>
    <row r="202" spans="1:22" ht="14.25" customHeight="1" x14ac:dyDescent="0.35">
      <c r="A202" s="6" t="s">
        <v>40</v>
      </c>
      <c r="B202" s="7" t="s">
        <v>41</v>
      </c>
      <c r="C202" s="7" t="s">
        <v>257</v>
      </c>
      <c r="D202" s="7" t="s">
        <v>258</v>
      </c>
      <c r="E202" s="7" t="s">
        <v>263</v>
      </c>
      <c r="F202" s="7" t="s">
        <v>264</v>
      </c>
      <c r="G202" s="7" t="s">
        <v>64</v>
      </c>
      <c r="H202" s="7" t="s">
        <v>65</v>
      </c>
      <c r="I202" s="10">
        <v>625.54300000000001</v>
      </c>
      <c r="J202" s="7" t="s">
        <v>265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0.30560799999999999</v>
      </c>
      <c r="S202" s="11">
        <v>0.29552299999999998</v>
      </c>
      <c r="T202" s="13">
        <v>0.13999975363</v>
      </c>
      <c r="U202" s="13">
        <v>3.3000000000000002E-2</v>
      </c>
      <c r="V202" s="15">
        <v>0.16839999999999999</v>
      </c>
    </row>
    <row r="203" spans="1:22" ht="14.25" customHeight="1" x14ac:dyDescent="0.35">
      <c r="A203" s="6" t="s">
        <v>217</v>
      </c>
      <c r="B203" s="7" t="s">
        <v>218</v>
      </c>
      <c r="C203" s="7" t="s">
        <v>257</v>
      </c>
      <c r="D203" s="7" t="s">
        <v>258</v>
      </c>
      <c r="E203" s="7" t="s">
        <v>263</v>
      </c>
      <c r="F203" s="7" t="s">
        <v>264</v>
      </c>
      <c r="G203" s="7" t="s">
        <v>64</v>
      </c>
      <c r="H203" s="7" t="s">
        <v>65</v>
      </c>
      <c r="I203" s="10">
        <v>195.10900000000001</v>
      </c>
      <c r="J203" s="7" t="s">
        <v>265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9.5297999999999994E-2</v>
      </c>
      <c r="S203" s="11">
        <v>9.2152999999999999E-2</v>
      </c>
      <c r="T203" s="13">
        <v>0.13999975363</v>
      </c>
      <c r="U203" s="13">
        <v>3.3000000000000002E-2</v>
      </c>
      <c r="V203" s="15">
        <v>0.16839999999999999</v>
      </c>
    </row>
    <row r="204" spans="1:22" ht="14.25" customHeight="1" x14ac:dyDescent="0.35">
      <c r="A204" s="6" t="s">
        <v>209</v>
      </c>
      <c r="B204" s="7" t="s">
        <v>210</v>
      </c>
      <c r="C204" s="7" t="s">
        <v>257</v>
      </c>
      <c r="D204" s="7" t="s">
        <v>258</v>
      </c>
      <c r="E204" s="7" t="s">
        <v>263</v>
      </c>
      <c r="F204" s="7" t="s">
        <v>264</v>
      </c>
      <c r="G204" s="7" t="s">
        <v>103</v>
      </c>
      <c r="H204" s="7" t="s">
        <v>65</v>
      </c>
      <c r="I204" s="10">
        <v>152.85599999999999</v>
      </c>
      <c r="J204" s="7" t="s">
        <v>265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7.4687000000000003E-2</v>
      </c>
      <c r="S204" s="11">
        <v>7.2221999999999995E-2</v>
      </c>
      <c r="T204" s="13">
        <v>0.13999975363</v>
      </c>
      <c r="U204" s="13">
        <v>3.3000000000000002E-2</v>
      </c>
      <c r="V204" s="15">
        <v>0.16839999999999999</v>
      </c>
    </row>
    <row r="205" spans="1:22" ht="14.25" customHeight="1" x14ac:dyDescent="0.35">
      <c r="A205" s="6" t="s">
        <v>47</v>
      </c>
      <c r="B205" s="7" t="s">
        <v>48</v>
      </c>
      <c r="C205" s="7" t="s">
        <v>257</v>
      </c>
      <c r="D205" s="7" t="s">
        <v>258</v>
      </c>
      <c r="E205" s="7" t="s">
        <v>263</v>
      </c>
      <c r="F205" s="7" t="s">
        <v>264</v>
      </c>
      <c r="G205" s="7" t="s">
        <v>64</v>
      </c>
      <c r="H205" s="7" t="s">
        <v>65</v>
      </c>
      <c r="I205" s="10">
        <v>500.96100000000001</v>
      </c>
      <c r="J205" s="7" t="s">
        <v>265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0.24476600000000001</v>
      </c>
      <c r="S205" s="11">
        <v>0.23668900000000001</v>
      </c>
      <c r="T205" s="13">
        <v>0.13999975363</v>
      </c>
      <c r="U205" s="13">
        <v>3.3000000000000002E-2</v>
      </c>
      <c r="V205" s="15">
        <v>0.16839999999999999</v>
      </c>
    </row>
    <row r="206" spans="1:22" ht="14.25" customHeight="1" x14ac:dyDescent="0.35">
      <c r="A206" s="6" t="s">
        <v>49</v>
      </c>
      <c r="B206" s="7" t="s">
        <v>50</v>
      </c>
      <c r="C206" s="7" t="s">
        <v>257</v>
      </c>
      <c r="D206" s="7" t="s">
        <v>258</v>
      </c>
      <c r="E206" s="7" t="s">
        <v>266</v>
      </c>
      <c r="F206" s="7" t="s">
        <v>267</v>
      </c>
      <c r="G206" s="7" t="s">
        <v>86</v>
      </c>
      <c r="H206" s="7" t="s">
        <v>65</v>
      </c>
      <c r="I206" s="10">
        <v>17832</v>
      </c>
      <c r="J206" s="7" t="s">
        <v>256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3">
        <v>0</v>
      </c>
      <c r="U206" s="13">
        <v>0</v>
      </c>
      <c r="V206" s="15">
        <v>0</v>
      </c>
    </row>
    <row r="207" spans="1:22" ht="14.25" customHeight="1" x14ac:dyDescent="0.35">
      <c r="A207" s="6" t="s">
        <v>217</v>
      </c>
      <c r="B207" s="7" t="s">
        <v>218</v>
      </c>
      <c r="C207" s="7" t="s">
        <v>257</v>
      </c>
      <c r="D207" s="7" t="s">
        <v>258</v>
      </c>
      <c r="E207" s="7" t="s">
        <v>266</v>
      </c>
      <c r="F207" s="7" t="s">
        <v>267</v>
      </c>
      <c r="G207" s="7" t="s">
        <v>86</v>
      </c>
      <c r="H207" s="7" t="s">
        <v>77</v>
      </c>
      <c r="I207" s="10">
        <v>3323.904</v>
      </c>
      <c r="J207" s="7" t="s">
        <v>256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3">
        <v>0</v>
      </c>
      <c r="U207" s="13">
        <v>0</v>
      </c>
      <c r="V207" s="15">
        <v>0</v>
      </c>
    </row>
    <row r="208" spans="1:22" ht="14.25" customHeight="1" x14ac:dyDescent="0.35">
      <c r="A208" s="6" t="s">
        <v>40</v>
      </c>
      <c r="B208" s="7" t="s">
        <v>41</v>
      </c>
      <c r="C208" s="7" t="s">
        <v>257</v>
      </c>
      <c r="D208" s="7" t="s">
        <v>258</v>
      </c>
      <c r="E208" s="7" t="s">
        <v>266</v>
      </c>
      <c r="F208" s="7" t="s">
        <v>267</v>
      </c>
      <c r="G208" s="7" t="s">
        <v>86</v>
      </c>
      <c r="H208" s="7" t="s">
        <v>65</v>
      </c>
      <c r="I208" s="10">
        <v>23776</v>
      </c>
      <c r="J208" s="7" t="s">
        <v>256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3">
        <v>0</v>
      </c>
      <c r="U208" s="13">
        <v>0</v>
      </c>
      <c r="V208" s="15">
        <v>0</v>
      </c>
    </row>
    <row r="209" spans="1:22" ht="14.25" customHeight="1" x14ac:dyDescent="0.35">
      <c r="A209" s="6" t="s">
        <v>47</v>
      </c>
      <c r="B209" s="7" t="s">
        <v>48</v>
      </c>
      <c r="C209" s="7" t="s">
        <v>257</v>
      </c>
      <c r="D209" s="7" t="s">
        <v>258</v>
      </c>
      <c r="E209" s="7" t="s">
        <v>266</v>
      </c>
      <c r="F209" s="7" t="s">
        <v>267</v>
      </c>
      <c r="G209" s="7" t="s">
        <v>86</v>
      </c>
      <c r="H209" s="7" t="s">
        <v>65</v>
      </c>
      <c r="I209" s="10">
        <v>19056.121999999999</v>
      </c>
      <c r="J209" s="7" t="s">
        <v>256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3">
        <v>0</v>
      </c>
      <c r="U209" s="13">
        <v>0</v>
      </c>
      <c r="V209" s="15">
        <v>0</v>
      </c>
    </row>
    <row r="210" spans="1:22" ht="14.25" customHeight="1" x14ac:dyDescent="0.35">
      <c r="A210" s="6" t="s">
        <v>209</v>
      </c>
      <c r="B210" s="7" t="s">
        <v>210</v>
      </c>
      <c r="C210" s="7" t="s">
        <v>257</v>
      </c>
      <c r="D210" s="7" t="s">
        <v>258</v>
      </c>
      <c r="E210" s="7" t="s">
        <v>266</v>
      </c>
      <c r="F210" s="7" t="s">
        <v>267</v>
      </c>
      <c r="G210" s="7" t="s">
        <v>102</v>
      </c>
      <c r="H210" s="7" t="s">
        <v>77</v>
      </c>
      <c r="I210" s="10">
        <v>852.45799999999997</v>
      </c>
      <c r="J210" s="7" t="s">
        <v>256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3">
        <v>0</v>
      </c>
      <c r="U210" s="13">
        <v>0</v>
      </c>
      <c r="V210" s="15">
        <v>0</v>
      </c>
    </row>
    <row r="211" spans="1:22" ht="14.25" customHeight="1" x14ac:dyDescent="0.35">
      <c r="A211" s="6" t="s">
        <v>217</v>
      </c>
      <c r="B211" s="7" t="s">
        <v>218</v>
      </c>
      <c r="C211" s="7" t="s">
        <v>257</v>
      </c>
      <c r="D211" s="7" t="s">
        <v>258</v>
      </c>
      <c r="E211" s="7" t="s">
        <v>268</v>
      </c>
      <c r="F211" s="7" t="s">
        <v>269</v>
      </c>
      <c r="G211" s="7" t="s">
        <v>64</v>
      </c>
      <c r="H211" s="7" t="s">
        <v>65</v>
      </c>
      <c r="I211" s="10">
        <v>197.32900000000001</v>
      </c>
      <c r="J211" s="7" t="s">
        <v>265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2.8256700000000001</v>
      </c>
      <c r="S211" s="11">
        <v>2.7324229999999998</v>
      </c>
      <c r="T211" s="13">
        <v>0.14000003393999999</v>
      </c>
      <c r="U211" s="13">
        <v>3.3000000000000002E-2</v>
      </c>
      <c r="V211" s="15">
        <v>0.16839999999999999</v>
      </c>
    </row>
    <row r="212" spans="1:22" ht="14.25" customHeight="1" x14ac:dyDescent="0.35">
      <c r="A212" s="6" t="s">
        <v>209</v>
      </c>
      <c r="B212" s="7" t="s">
        <v>210</v>
      </c>
      <c r="C212" s="7" t="s">
        <v>257</v>
      </c>
      <c r="D212" s="7" t="s">
        <v>258</v>
      </c>
      <c r="E212" s="7" t="s">
        <v>268</v>
      </c>
      <c r="F212" s="7" t="s">
        <v>269</v>
      </c>
      <c r="G212" s="7" t="s">
        <v>103</v>
      </c>
      <c r="H212" s="7" t="s">
        <v>65</v>
      </c>
      <c r="I212" s="10">
        <v>154.56100000000001</v>
      </c>
      <c r="J212" s="7" t="s">
        <v>265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2.2133020000000001</v>
      </c>
      <c r="S212" s="11">
        <v>2.140263</v>
      </c>
      <c r="T212" s="13">
        <v>0.14000003393999999</v>
      </c>
      <c r="U212" s="13">
        <v>3.3000000000000002E-2</v>
      </c>
      <c r="V212" s="15">
        <v>0.16839999999999999</v>
      </c>
    </row>
    <row r="213" spans="1:22" ht="14.25" customHeight="1" x14ac:dyDescent="0.35">
      <c r="A213" s="6" t="s">
        <v>47</v>
      </c>
      <c r="B213" s="7" t="s">
        <v>48</v>
      </c>
      <c r="C213" s="7" t="s">
        <v>257</v>
      </c>
      <c r="D213" s="7" t="s">
        <v>258</v>
      </c>
      <c r="E213" s="7" t="s">
        <v>268</v>
      </c>
      <c r="F213" s="7" t="s">
        <v>269</v>
      </c>
      <c r="G213" s="7" t="s">
        <v>64</v>
      </c>
      <c r="H213" s="7" t="s">
        <v>65</v>
      </c>
      <c r="I213" s="10">
        <v>506.41399999999999</v>
      </c>
      <c r="J213" s="7" t="s">
        <v>265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7.2518050000000001</v>
      </c>
      <c r="S213" s="11">
        <v>7.0124950000000004</v>
      </c>
      <c r="T213" s="13">
        <v>0.14000003393999999</v>
      </c>
      <c r="U213" s="13">
        <v>3.3000000000000002E-2</v>
      </c>
      <c r="V213" s="15">
        <v>0.16839999999999999</v>
      </c>
    </row>
    <row r="214" spans="1:22" ht="14.25" customHeight="1" x14ac:dyDescent="0.35">
      <c r="A214" s="6" t="s">
        <v>40</v>
      </c>
      <c r="B214" s="7" t="s">
        <v>41</v>
      </c>
      <c r="C214" s="7" t="s">
        <v>257</v>
      </c>
      <c r="D214" s="7" t="s">
        <v>258</v>
      </c>
      <c r="E214" s="7" t="s">
        <v>268</v>
      </c>
      <c r="F214" s="7" t="s">
        <v>269</v>
      </c>
      <c r="G214" s="7" t="s">
        <v>64</v>
      </c>
      <c r="H214" s="7" t="s">
        <v>65</v>
      </c>
      <c r="I214" s="10">
        <v>632.33399999999995</v>
      </c>
      <c r="J214" s="7" t="s">
        <v>265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9.0548889999999993</v>
      </c>
      <c r="S214" s="11">
        <v>8.7560780000000005</v>
      </c>
      <c r="T214" s="13">
        <v>0.14000003393999999</v>
      </c>
      <c r="U214" s="13">
        <v>3.3000000000000002E-2</v>
      </c>
      <c r="V214" s="15">
        <v>0.16839999999999999</v>
      </c>
    </row>
    <row r="215" spans="1:22" ht="14.25" customHeight="1" x14ac:dyDescent="0.35">
      <c r="A215" s="6" t="s">
        <v>49</v>
      </c>
      <c r="B215" s="7" t="s">
        <v>50</v>
      </c>
      <c r="C215" s="7" t="s">
        <v>257</v>
      </c>
      <c r="D215" s="7" t="s">
        <v>258</v>
      </c>
      <c r="E215" s="7" t="s">
        <v>270</v>
      </c>
      <c r="F215" s="7" t="s">
        <v>271</v>
      </c>
      <c r="G215" s="7" t="s">
        <v>86</v>
      </c>
      <c r="H215" s="7" t="s">
        <v>159</v>
      </c>
      <c r="I215" s="10">
        <v>0</v>
      </c>
      <c r="J215" s="7" t="s">
        <v>265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3">
        <v>0</v>
      </c>
      <c r="U215" s="13">
        <v>0</v>
      </c>
      <c r="V215" s="15">
        <v>0</v>
      </c>
    </row>
    <row r="216" spans="1:22" ht="14.25" customHeight="1" x14ac:dyDescent="0.35">
      <c r="A216" s="6" t="s">
        <v>209</v>
      </c>
      <c r="B216" s="7" t="s">
        <v>210</v>
      </c>
      <c r="C216" s="7" t="s">
        <v>257</v>
      </c>
      <c r="D216" s="7" t="s">
        <v>258</v>
      </c>
      <c r="E216" s="7" t="s">
        <v>270</v>
      </c>
      <c r="F216" s="7" t="s">
        <v>271</v>
      </c>
      <c r="G216" s="7" t="s">
        <v>102</v>
      </c>
      <c r="H216" s="7" t="s">
        <v>159</v>
      </c>
      <c r="I216" s="10">
        <v>0</v>
      </c>
      <c r="J216" s="7" t="s">
        <v>265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3">
        <v>0</v>
      </c>
      <c r="U216" s="13">
        <v>0</v>
      </c>
      <c r="V216" s="15">
        <v>0</v>
      </c>
    </row>
    <row r="217" spans="1:22" ht="14.25" customHeight="1" x14ac:dyDescent="0.35">
      <c r="A217" s="6" t="s">
        <v>40</v>
      </c>
      <c r="B217" s="7" t="s">
        <v>41</v>
      </c>
      <c r="C217" s="7" t="s">
        <v>257</v>
      </c>
      <c r="D217" s="7" t="s">
        <v>258</v>
      </c>
      <c r="E217" s="7" t="s">
        <v>270</v>
      </c>
      <c r="F217" s="7" t="s">
        <v>271</v>
      </c>
      <c r="G217" s="7" t="s">
        <v>86</v>
      </c>
      <c r="H217" s="7" t="s">
        <v>159</v>
      </c>
      <c r="I217" s="10">
        <v>0</v>
      </c>
      <c r="J217" s="7" t="s">
        <v>265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3">
        <v>0</v>
      </c>
      <c r="U217" s="13">
        <v>0</v>
      </c>
      <c r="V217" s="15">
        <v>0</v>
      </c>
    </row>
    <row r="218" spans="1:22" ht="14.25" customHeight="1" x14ac:dyDescent="0.35">
      <c r="A218" s="6" t="s">
        <v>47</v>
      </c>
      <c r="B218" s="7" t="s">
        <v>48</v>
      </c>
      <c r="C218" s="7" t="s">
        <v>257</v>
      </c>
      <c r="D218" s="7" t="s">
        <v>258</v>
      </c>
      <c r="E218" s="7" t="s">
        <v>270</v>
      </c>
      <c r="F218" s="7" t="s">
        <v>271</v>
      </c>
      <c r="G218" s="7" t="s">
        <v>86</v>
      </c>
      <c r="H218" s="7" t="s">
        <v>159</v>
      </c>
      <c r="I218" s="10">
        <v>0</v>
      </c>
      <c r="J218" s="7" t="s">
        <v>265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3">
        <v>0</v>
      </c>
      <c r="U218" s="13">
        <v>0</v>
      </c>
      <c r="V218" s="15">
        <v>0</v>
      </c>
    </row>
    <row r="219" spans="1:22" ht="14.25" customHeight="1" x14ac:dyDescent="0.35">
      <c r="A219" s="6" t="s">
        <v>217</v>
      </c>
      <c r="B219" s="7" t="s">
        <v>218</v>
      </c>
      <c r="C219" s="7" t="s">
        <v>257</v>
      </c>
      <c r="D219" s="7" t="s">
        <v>258</v>
      </c>
      <c r="E219" s="7" t="s">
        <v>270</v>
      </c>
      <c r="F219" s="7" t="s">
        <v>271</v>
      </c>
      <c r="G219" s="7" t="s">
        <v>86</v>
      </c>
      <c r="H219" s="7" t="s">
        <v>159</v>
      </c>
      <c r="I219" s="10">
        <v>0</v>
      </c>
      <c r="J219" s="7" t="s">
        <v>265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3">
        <v>0</v>
      </c>
      <c r="U219" s="13">
        <v>0</v>
      </c>
      <c r="V219" s="15">
        <v>0</v>
      </c>
    </row>
    <row r="220" spans="1:22" ht="14.25" customHeight="1" x14ac:dyDescent="0.35">
      <c r="A220" s="6" t="s">
        <v>49</v>
      </c>
      <c r="B220" s="7" t="s">
        <v>50</v>
      </c>
      <c r="C220" s="7" t="s">
        <v>257</v>
      </c>
      <c r="D220" s="7" t="s">
        <v>258</v>
      </c>
      <c r="E220" s="7" t="s">
        <v>272</v>
      </c>
      <c r="F220" s="7" t="s">
        <v>273</v>
      </c>
      <c r="G220" s="7" t="s">
        <v>86</v>
      </c>
      <c r="H220" s="7" t="s">
        <v>65</v>
      </c>
      <c r="I220" s="10">
        <v>17832</v>
      </c>
      <c r="J220" s="7" t="s">
        <v>256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3">
        <v>0</v>
      </c>
      <c r="U220" s="13">
        <v>0</v>
      </c>
      <c r="V220" s="15">
        <v>0</v>
      </c>
    </row>
    <row r="221" spans="1:22" ht="14.25" customHeight="1" x14ac:dyDescent="0.35">
      <c r="A221" s="6" t="s">
        <v>209</v>
      </c>
      <c r="B221" s="7" t="s">
        <v>210</v>
      </c>
      <c r="C221" s="7" t="s">
        <v>257</v>
      </c>
      <c r="D221" s="7" t="s">
        <v>258</v>
      </c>
      <c r="E221" s="7" t="s">
        <v>272</v>
      </c>
      <c r="F221" s="7" t="s">
        <v>273</v>
      </c>
      <c r="G221" s="7" t="s">
        <v>102</v>
      </c>
      <c r="H221" s="7" t="s">
        <v>65</v>
      </c>
      <c r="I221" s="10">
        <v>7292.982</v>
      </c>
      <c r="J221" s="7" t="s">
        <v>256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3">
        <v>0</v>
      </c>
      <c r="U221" s="13">
        <v>0</v>
      </c>
      <c r="V221" s="15">
        <v>0</v>
      </c>
    </row>
    <row r="222" spans="1:22" ht="14.25" customHeight="1" x14ac:dyDescent="0.35">
      <c r="A222" s="6" t="s">
        <v>47</v>
      </c>
      <c r="B222" s="7" t="s">
        <v>48</v>
      </c>
      <c r="C222" s="7" t="s">
        <v>257</v>
      </c>
      <c r="D222" s="7" t="s">
        <v>258</v>
      </c>
      <c r="E222" s="7" t="s">
        <v>272</v>
      </c>
      <c r="F222" s="7" t="s">
        <v>273</v>
      </c>
      <c r="G222" s="7" t="s">
        <v>86</v>
      </c>
      <c r="H222" s="7" t="s">
        <v>65</v>
      </c>
      <c r="I222" s="10">
        <v>19056.121999999999</v>
      </c>
      <c r="J222" s="7" t="s">
        <v>256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3">
        <v>0</v>
      </c>
      <c r="U222" s="13">
        <v>0</v>
      </c>
      <c r="V222" s="15">
        <v>0</v>
      </c>
    </row>
    <row r="223" spans="1:22" ht="14.25" customHeight="1" x14ac:dyDescent="0.35">
      <c r="A223" s="6" t="s">
        <v>40</v>
      </c>
      <c r="B223" s="7" t="s">
        <v>41</v>
      </c>
      <c r="C223" s="7" t="s">
        <v>257</v>
      </c>
      <c r="D223" s="7" t="s">
        <v>258</v>
      </c>
      <c r="E223" s="7" t="s">
        <v>272</v>
      </c>
      <c r="F223" s="7" t="s">
        <v>273</v>
      </c>
      <c r="G223" s="7" t="s">
        <v>86</v>
      </c>
      <c r="H223" s="7" t="s">
        <v>65</v>
      </c>
      <c r="I223" s="10">
        <v>23776</v>
      </c>
      <c r="J223" s="7" t="s">
        <v>256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3">
        <v>0</v>
      </c>
      <c r="U223" s="13">
        <v>0</v>
      </c>
      <c r="V223" s="15">
        <v>0</v>
      </c>
    </row>
    <row r="224" spans="1:22" ht="14.25" customHeight="1" x14ac:dyDescent="0.35">
      <c r="A224" s="6" t="s">
        <v>217</v>
      </c>
      <c r="B224" s="7" t="s">
        <v>218</v>
      </c>
      <c r="C224" s="7" t="s">
        <v>257</v>
      </c>
      <c r="D224" s="7" t="s">
        <v>258</v>
      </c>
      <c r="E224" s="7" t="s">
        <v>272</v>
      </c>
      <c r="F224" s="7" t="s">
        <v>273</v>
      </c>
      <c r="G224" s="7" t="s">
        <v>86</v>
      </c>
      <c r="H224" s="7" t="s">
        <v>65</v>
      </c>
      <c r="I224" s="10">
        <v>8826.02</v>
      </c>
      <c r="J224" s="7" t="s">
        <v>256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3">
        <v>0</v>
      </c>
      <c r="U224" s="13">
        <v>0</v>
      </c>
      <c r="V224" s="15">
        <v>0</v>
      </c>
    </row>
    <row r="225" spans="1:22" ht="14.25" customHeight="1" x14ac:dyDescent="0.35">
      <c r="A225" s="6" t="s">
        <v>47</v>
      </c>
      <c r="B225" s="7" t="s">
        <v>48</v>
      </c>
      <c r="C225" s="7" t="s">
        <v>257</v>
      </c>
      <c r="D225" s="7" t="s">
        <v>258</v>
      </c>
      <c r="E225" s="7" t="s">
        <v>274</v>
      </c>
      <c r="F225" s="7" t="s">
        <v>275</v>
      </c>
      <c r="G225" s="7" t="s">
        <v>64</v>
      </c>
      <c r="H225" s="7" t="s">
        <v>65</v>
      </c>
      <c r="I225" s="10">
        <v>2782.5140000000001</v>
      </c>
      <c r="J225" s="7" t="s">
        <v>256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5.3406630000000002</v>
      </c>
      <c r="S225" s="11">
        <v>5.1644209999999999</v>
      </c>
      <c r="T225" s="13">
        <v>0.14000031885</v>
      </c>
      <c r="U225" s="13">
        <v>3.3000000000000002E-2</v>
      </c>
      <c r="V225" s="15">
        <v>0.16839999999999999</v>
      </c>
    </row>
    <row r="226" spans="1:22" ht="14.25" customHeight="1" x14ac:dyDescent="0.35">
      <c r="A226" s="6" t="s">
        <v>40</v>
      </c>
      <c r="B226" s="7" t="s">
        <v>41</v>
      </c>
      <c r="C226" s="7" t="s">
        <v>257</v>
      </c>
      <c r="D226" s="7" t="s">
        <v>258</v>
      </c>
      <c r="E226" s="7" t="s">
        <v>274</v>
      </c>
      <c r="F226" s="7" t="s">
        <v>275</v>
      </c>
      <c r="G226" s="7" t="s">
        <v>64</v>
      </c>
      <c r="H226" s="7" t="s">
        <v>65</v>
      </c>
      <c r="I226" s="10">
        <v>3472.4949999999999</v>
      </c>
      <c r="J226" s="7" t="s">
        <v>256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6.6650270000000003</v>
      </c>
      <c r="S226" s="11">
        <v>6.4450810000000001</v>
      </c>
      <c r="T226" s="13">
        <v>0.14000031885</v>
      </c>
      <c r="U226" s="13">
        <v>3.3000000000000002E-2</v>
      </c>
      <c r="V226" s="15">
        <v>0.16839999999999999</v>
      </c>
    </row>
    <row r="227" spans="1:22" ht="14.25" customHeight="1" x14ac:dyDescent="0.35">
      <c r="A227" s="6" t="s">
        <v>217</v>
      </c>
      <c r="B227" s="7" t="s">
        <v>218</v>
      </c>
      <c r="C227" s="7" t="s">
        <v>257</v>
      </c>
      <c r="D227" s="7" t="s">
        <v>258</v>
      </c>
      <c r="E227" s="7" t="s">
        <v>274</v>
      </c>
      <c r="F227" s="7" t="s">
        <v>275</v>
      </c>
      <c r="G227" s="7" t="s">
        <v>64</v>
      </c>
      <c r="H227" s="7" t="s">
        <v>65</v>
      </c>
      <c r="I227" s="10">
        <v>1039.684</v>
      </c>
      <c r="J227" s="7" t="s">
        <v>256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1.995466</v>
      </c>
      <c r="S227" s="11">
        <v>1.929616</v>
      </c>
      <c r="T227" s="13">
        <v>0.14000031885</v>
      </c>
      <c r="U227" s="13">
        <v>3.3000000000000002E-2</v>
      </c>
      <c r="V227" s="15">
        <v>0.16839999999999999</v>
      </c>
    </row>
    <row r="228" spans="1:22" ht="14.25" customHeight="1" x14ac:dyDescent="0.35">
      <c r="A228" s="6" t="s">
        <v>209</v>
      </c>
      <c r="B228" s="7" t="s">
        <v>210</v>
      </c>
      <c r="C228" s="7" t="s">
        <v>257</v>
      </c>
      <c r="D228" s="7" t="s">
        <v>258</v>
      </c>
      <c r="E228" s="7" t="s">
        <v>274</v>
      </c>
      <c r="F228" s="7" t="s">
        <v>275</v>
      </c>
      <c r="G228" s="7" t="s">
        <v>103</v>
      </c>
      <c r="H228" s="7" t="s">
        <v>65</v>
      </c>
      <c r="I228" s="10">
        <v>812.61500000000001</v>
      </c>
      <c r="J228" s="7" t="s">
        <v>256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1.559709</v>
      </c>
      <c r="S228" s="11">
        <v>1.5082390000000001</v>
      </c>
      <c r="T228" s="13">
        <v>0.14000031885</v>
      </c>
      <c r="U228" s="13">
        <v>3.3000000000000002E-2</v>
      </c>
      <c r="V228" s="15">
        <v>0.16839999999999999</v>
      </c>
    </row>
    <row r="229" spans="1:22" ht="14.25" customHeight="1" x14ac:dyDescent="0.35">
      <c r="A229" s="6" t="s">
        <v>40</v>
      </c>
      <c r="B229" s="7" t="s">
        <v>41</v>
      </c>
      <c r="C229" s="7" t="s">
        <v>257</v>
      </c>
      <c r="D229" s="7" t="s">
        <v>258</v>
      </c>
      <c r="E229" s="7" t="s">
        <v>276</v>
      </c>
      <c r="F229" s="7" t="s">
        <v>277</v>
      </c>
      <c r="G229" s="7" t="s">
        <v>86</v>
      </c>
      <c r="H229" s="7" t="s">
        <v>65</v>
      </c>
      <c r="I229" s="10">
        <v>5944</v>
      </c>
      <c r="J229" s="7" t="s">
        <v>265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3">
        <v>0</v>
      </c>
      <c r="U229" s="13">
        <v>0</v>
      </c>
      <c r="V229" s="15">
        <v>0</v>
      </c>
    </row>
    <row r="230" spans="1:22" ht="14.25" customHeight="1" x14ac:dyDescent="0.35">
      <c r="A230" s="6" t="s">
        <v>217</v>
      </c>
      <c r="B230" s="7" t="s">
        <v>218</v>
      </c>
      <c r="C230" s="7" t="s">
        <v>257</v>
      </c>
      <c r="D230" s="7" t="s">
        <v>258</v>
      </c>
      <c r="E230" s="7" t="s">
        <v>276</v>
      </c>
      <c r="F230" s="7" t="s">
        <v>277</v>
      </c>
      <c r="G230" s="7" t="s">
        <v>86</v>
      </c>
      <c r="H230" s="7" t="s">
        <v>65</v>
      </c>
      <c r="I230" s="10">
        <v>2206.5050000000001</v>
      </c>
      <c r="J230" s="7" t="s">
        <v>265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3">
        <v>0</v>
      </c>
      <c r="U230" s="13">
        <v>0</v>
      </c>
      <c r="V230" s="15">
        <v>0</v>
      </c>
    </row>
    <row r="231" spans="1:22" ht="14.25" customHeight="1" x14ac:dyDescent="0.35">
      <c r="A231" s="6" t="s">
        <v>47</v>
      </c>
      <c r="B231" s="7" t="s">
        <v>48</v>
      </c>
      <c r="C231" s="7" t="s">
        <v>257</v>
      </c>
      <c r="D231" s="7" t="s">
        <v>258</v>
      </c>
      <c r="E231" s="7" t="s">
        <v>276</v>
      </c>
      <c r="F231" s="7" t="s">
        <v>277</v>
      </c>
      <c r="G231" s="7" t="s">
        <v>86</v>
      </c>
      <c r="H231" s="7" t="s">
        <v>65</v>
      </c>
      <c r="I231" s="10">
        <v>4764.0309999999999</v>
      </c>
      <c r="J231" s="7" t="s">
        <v>265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3">
        <v>0</v>
      </c>
      <c r="U231" s="13">
        <v>0</v>
      </c>
      <c r="V231" s="15">
        <v>0</v>
      </c>
    </row>
    <row r="232" spans="1:22" ht="14.25" customHeight="1" x14ac:dyDescent="0.35">
      <c r="A232" s="6" t="s">
        <v>49</v>
      </c>
      <c r="B232" s="7" t="s">
        <v>50</v>
      </c>
      <c r="C232" s="7" t="s">
        <v>257</v>
      </c>
      <c r="D232" s="7" t="s">
        <v>258</v>
      </c>
      <c r="E232" s="7" t="s">
        <v>276</v>
      </c>
      <c r="F232" s="7" t="s">
        <v>277</v>
      </c>
      <c r="G232" s="7" t="s">
        <v>86</v>
      </c>
      <c r="H232" s="7" t="s">
        <v>65</v>
      </c>
      <c r="I232" s="10">
        <v>4458</v>
      </c>
      <c r="J232" s="7" t="s">
        <v>265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3">
        <v>0</v>
      </c>
      <c r="U232" s="13">
        <v>0</v>
      </c>
      <c r="V232" s="15">
        <v>0</v>
      </c>
    </row>
    <row r="233" spans="1:22" ht="14.25" customHeight="1" x14ac:dyDescent="0.35">
      <c r="A233" s="6" t="s">
        <v>209</v>
      </c>
      <c r="B233" s="7" t="s">
        <v>210</v>
      </c>
      <c r="C233" s="7" t="s">
        <v>257</v>
      </c>
      <c r="D233" s="7" t="s">
        <v>258</v>
      </c>
      <c r="E233" s="7" t="s">
        <v>276</v>
      </c>
      <c r="F233" s="7" t="s">
        <v>277</v>
      </c>
      <c r="G233" s="7" t="s">
        <v>102</v>
      </c>
      <c r="H233" s="7" t="s">
        <v>65</v>
      </c>
      <c r="I233" s="10">
        <v>1823.2460000000001</v>
      </c>
      <c r="J233" s="7" t="s">
        <v>265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3">
        <v>0</v>
      </c>
      <c r="U233" s="13">
        <v>0</v>
      </c>
      <c r="V233" s="15">
        <v>0</v>
      </c>
    </row>
    <row r="234" spans="1:22" ht="14.25" customHeight="1" x14ac:dyDescent="0.35">
      <c r="A234" s="6" t="s">
        <v>47</v>
      </c>
      <c r="B234" s="7" t="s">
        <v>48</v>
      </c>
      <c r="C234" s="7" t="s">
        <v>257</v>
      </c>
      <c r="D234" s="7" t="s">
        <v>258</v>
      </c>
      <c r="E234" s="7" t="s">
        <v>278</v>
      </c>
      <c r="F234" s="7" t="s">
        <v>279</v>
      </c>
      <c r="G234" s="7" t="s">
        <v>64</v>
      </c>
      <c r="H234" s="7" t="s">
        <v>65</v>
      </c>
      <c r="I234" s="10">
        <v>320.60599999999999</v>
      </c>
      <c r="J234" s="7" t="s">
        <v>66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27.571269000000001</v>
      </c>
      <c r="S234" s="11">
        <v>26.661417</v>
      </c>
      <c r="T234" s="13">
        <v>0.14000000000000001</v>
      </c>
      <c r="U234" s="13">
        <v>3.3000000000000002E-2</v>
      </c>
      <c r="V234" s="15">
        <v>0.16839999999999999</v>
      </c>
    </row>
    <row r="235" spans="1:22" ht="14.25" customHeight="1" x14ac:dyDescent="0.35">
      <c r="A235" s="6" t="s">
        <v>40</v>
      </c>
      <c r="B235" s="7" t="s">
        <v>41</v>
      </c>
      <c r="C235" s="7" t="s">
        <v>257</v>
      </c>
      <c r="D235" s="7" t="s">
        <v>258</v>
      </c>
      <c r="E235" s="7" t="s">
        <v>278</v>
      </c>
      <c r="F235" s="7" t="s">
        <v>279</v>
      </c>
      <c r="G235" s="7" t="s">
        <v>64</v>
      </c>
      <c r="H235" s="7" t="s">
        <v>65</v>
      </c>
      <c r="I235" s="10">
        <v>400</v>
      </c>
      <c r="J235" s="7" t="s">
        <v>66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34.399073999999999</v>
      </c>
      <c r="S235" s="11">
        <v>33.263905000000001</v>
      </c>
      <c r="T235" s="13">
        <v>0.14000000000000001</v>
      </c>
      <c r="U235" s="13">
        <v>3.3000000000000002E-2</v>
      </c>
      <c r="V235" s="15">
        <v>0.16839999999999999</v>
      </c>
    </row>
    <row r="236" spans="1:22" ht="14.25" customHeight="1" x14ac:dyDescent="0.35">
      <c r="A236" s="6" t="s">
        <v>217</v>
      </c>
      <c r="B236" s="7" t="s">
        <v>218</v>
      </c>
      <c r="C236" s="7" t="s">
        <v>257</v>
      </c>
      <c r="D236" s="7" t="s">
        <v>258</v>
      </c>
      <c r="E236" s="7" t="s">
        <v>278</v>
      </c>
      <c r="F236" s="7" t="s">
        <v>279</v>
      </c>
      <c r="G236" s="7" t="s">
        <v>64</v>
      </c>
      <c r="H236" s="7" t="s">
        <v>65</v>
      </c>
      <c r="I236" s="10">
        <v>148.821</v>
      </c>
      <c r="J236" s="7" t="s">
        <v>66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12.798182000000001</v>
      </c>
      <c r="S236" s="11">
        <v>12.375842</v>
      </c>
      <c r="T236" s="13">
        <v>0.14000000000000001</v>
      </c>
      <c r="U236" s="13">
        <v>3.3000000000000002E-2</v>
      </c>
      <c r="V236" s="15">
        <v>0.16839999999999999</v>
      </c>
    </row>
    <row r="237" spans="1:22" ht="14.25" customHeight="1" x14ac:dyDescent="0.35">
      <c r="A237" s="6" t="s">
        <v>209</v>
      </c>
      <c r="B237" s="7" t="s">
        <v>210</v>
      </c>
      <c r="C237" s="7" t="s">
        <v>257</v>
      </c>
      <c r="D237" s="7" t="s">
        <v>258</v>
      </c>
      <c r="E237" s="7" t="s">
        <v>278</v>
      </c>
      <c r="F237" s="7" t="s">
        <v>279</v>
      </c>
      <c r="G237" s="7" t="s">
        <v>102</v>
      </c>
      <c r="H237" s="7" t="s">
        <v>65</v>
      </c>
      <c r="I237" s="10">
        <v>123.059</v>
      </c>
      <c r="J237" s="7" t="s">
        <v>66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10.582779</v>
      </c>
      <c r="S237" s="11">
        <v>10.233547</v>
      </c>
      <c r="T237" s="13">
        <v>0.14000000000000001</v>
      </c>
      <c r="U237" s="13">
        <v>3.3000000000000002E-2</v>
      </c>
      <c r="V237" s="15">
        <v>0.16839999999999999</v>
      </c>
    </row>
    <row r="238" spans="1:22" ht="14.25" customHeight="1" x14ac:dyDescent="0.35">
      <c r="A238" s="6" t="s">
        <v>49</v>
      </c>
      <c r="B238" s="7" t="s">
        <v>50</v>
      </c>
      <c r="C238" s="7" t="s">
        <v>257</v>
      </c>
      <c r="D238" s="7" t="s">
        <v>258</v>
      </c>
      <c r="E238" s="7" t="s">
        <v>278</v>
      </c>
      <c r="F238" s="7" t="s">
        <v>279</v>
      </c>
      <c r="G238" s="7" t="s">
        <v>64</v>
      </c>
      <c r="H238" s="7" t="s">
        <v>65</v>
      </c>
      <c r="I238" s="10">
        <v>300</v>
      </c>
      <c r="J238" s="7" t="s">
        <v>66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25.799199000000002</v>
      </c>
      <c r="S238" s="11">
        <v>24.947825000000002</v>
      </c>
      <c r="T238" s="13">
        <v>0.14000000000000001</v>
      </c>
      <c r="U238" s="13">
        <v>3.3000000000000002E-2</v>
      </c>
      <c r="V238" s="15">
        <v>0.16839999999999999</v>
      </c>
    </row>
    <row r="239" spans="1:22" ht="14.25" customHeight="1" x14ac:dyDescent="0.35">
      <c r="A239" s="6" t="s">
        <v>49</v>
      </c>
      <c r="B239" s="7" t="s">
        <v>50</v>
      </c>
      <c r="C239" s="7" t="s">
        <v>257</v>
      </c>
      <c r="D239" s="7" t="s">
        <v>258</v>
      </c>
      <c r="E239" s="7" t="s">
        <v>280</v>
      </c>
      <c r="F239" s="7" t="s">
        <v>281</v>
      </c>
      <c r="G239" s="7" t="s">
        <v>180</v>
      </c>
      <c r="H239" s="7" t="s">
        <v>65</v>
      </c>
      <c r="I239" s="10">
        <v>0.27900000000000003</v>
      </c>
      <c r="J239" s="7" t="s">
        <v>215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3">
        <v>0.14000000000000001</v>
      </c>
      <c r="U239" s="13">
        <v>3.3000000000000002E-2</v>
      </c>
      <c r="V239" s="15">
        <v>0.16839999999999999</v>
      </c>
    </row>
    <row r="240" spans="1:22" ht="14.25" customHeight="1" x14ac:dyDescent="0.35">
      <c r="A240" s="6" t="s">
        <v>40</v>
      </c>
      <c r="B240" s="7" t="s">
        <v>41</v>
      </c>
      <c r="C240" s="7" t="s">
        <v>257</v>
      </c>
      <c r="D240" s="7" t="s">
        <v>258</v>
      </c>
      <c r="E240" s="7" t="s">
        <v>280</v>
      </c>
      <c r="F240" s="7" t="s">
        <v>281</v>
      </c>
      <c r="G240" s="7" t="s">
        <v>180</v>
      </c>
      <c r="H240" s="7" t="s">
        <v>65</v>
      </c>
      <c r="I240" s="10">
        <v>0.27900000000000003</v>
      </c>
      <c r="J240" s="7" t="s">
        <v>215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0</v>
      </c>
      <c r="T240" s="13">
        <v>0.14000000000000001</v>
      </c>
      <c r="U240" s="13">
        <v>3.3000000000000002E-2</v>
      </c>
      <c r="V240" s="15">
        <v>0.16839999999999999</v>
      </c>
    </row>
    <row r="241" spans="1:22" ht="14.25" customHeight="1" x14ac:dyDescent="0.35">
      <c r="A241" s="6" t="s">
        <v>209</v>
      </c>
      <c r="B241" s="7" t="s">
        <v>210</v>
      </c>
      <c r="C241" s="7" t="s">
        <v>257</v>
      </c>
      <c r="D241" s="7" t="s">
        <v>258</v>
      </c>
      <c r="E241" s="7" t="s">
        <v>280</v>
      </c>
      <c r="F241" s="7" t="s">
        <v>281</v>
      </c>
      <c r="G241" s="7" t="s">
        <v>103</v>
      </c>
      <c r="H241" s="7" t="s">
        <v>65</v>
      </c>
      <c r="I241" s="10">
        <v>0.161</v>
      </c>
      <c r="J241" s="7" t="s">
        <v>215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3">
        <v>0.14000000000000001</v>
      </c>
      <c r="U241" s="13">
        <v>3.3000000000000002E-2</v>
      </c>
      <c r="V241" s="15">
        <v>0.16839999999999999</v>
      </c>
    </row>
    <row r="242" spans="1:22" ht="14.25" customHeight="1" x14ac:dyDescent="0.35">
      <c r="A242" s="6" t="s">
        <v>217</v>
      </c>
      <c r="B242" s="7" t="s">
        <v>218</v>
      </c>
      <c r="C242" s="7" t="s">
        <v>257</v>
      </c>
      <c r="D242" s="7" t="s">
        <v>258</v>
      </c>
      <c r="E242" s="7" t="s">
        <v>280</v>
      </c>
      <c r="F242" s="7" t="s">
        <v>281</v>
      </c>
      <c r="G242" s="7" t="s">
        <v>86</v>
      </c>
      <c r="H242" s="7" t="s">
        <v>65</v>
      </c>
      <c r="I242" s="10">
        <v>0.108</v>
      </c>
      <c r="J242" s="7" t="s">
        <v>215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3">
        <v>0.14000000000000001</v>
      </c>
      <c r="U242" s="13">
        <v>3.3000000000000002E-2</v>
      </c>
      <c r="V242" s="15">
        <v>0.16839999999999999</v>
      </c>
    </row>
    <row r="243" spans="1:22" ht="14.25" customHeight="1" x14ac:dyDescent="0.35">
      <c r="A243" s="6" t="s">
        <v>47</v>
      </c>
      <c r="B243" s="7" t="s">
        <v>48</v>
      </c>
      <c r="C243" s="7" t="s">
        <v>257</v>
      </c>
      <c r="D243" s="7" t="s">
        <v>258</v>
      </c>
      <c r="E243" s="7" t="s">
        <v>280</v>
      </c>
      <c r="F243" s="7" t="s">
        <v>281</v>
      </c>
      <c r="G243" s="7" t="s">
        <v>180</v>
      </c>
      <c r="H243" s="7" t="s">
        <v>65</v>
      </c>
      <c r="I243" s="10">
        <v>0.27900000000000003</v>
      </c>
      <c r="J243" s="7" t="s">
        <v>215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3">
        <v>0.14000000000000001</v>
      </c>
      <c r="U243" s="13">
        <v>3.3000000000000002E-2</v>
      </c>
      <c r="V243" s="15">
        <v>0.16839999999999999</v>
      </c>
    </row>
    <row r="244" spans="1:22" ht="14.25" customHeight="1" x14ac:dyDescent="0.35">
      <c r="A244" s="6" t="s">
        <v>209</v>
      </c>
      <c r="B244" s="7" t="s">
        <v>210</v>
      </c>
      <c r="C244" s="7" t="s">
        <v>257</v>
      </c>
      <c r="D244" s="7" t="s">
        <v>258</v>
      </c>
      <c r="E244" s="7" t="s">
        <v>282</v>
      </c>
      <c r="F244" s="7" t="s">
        <v>283</v>
      </c>
      <c r="G244" s="7" t="s">
        <v>103</v>
      </c>
      <c r="H244" s="7" t="s">
        <v>65</v>
      </c>
      <c r="I244" s="10">
        <v>0.16800000000000001</v>
      </c>
      <c r="J244" s="7" t="s">
        <v>215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3">
        <v>0.14000000000000001</v>
      </c>
      <c r="U244" s="13">
        <v>3.3000000000000002E-2</v>
      </c>
      <c r="V244" s="15">
        <v>0.16839999999999999</v>
      </c>
    </row>
    <row r="245" spans="1:22" ht="14.25" customHeight="1" x14ac:dyDescent="0.35">
      <c r="A245" s="6" t="s">
        <v>40</v>
      </c>
      <c r="B245" s="7" t="s">
        <v>41</v>
      </c>
      <c r="C245" s="7" t="s">
        <v>257</v>
      </c>
      <c r="D245" s="7" t="s">
        <v>258</v>
      </c>
      <c r="E245" s="7" t="s">
        <v>282</v>
      </c>
      <c r="F245" s="7" t="s">
        <v>283</v>
      </c>
      <c r="G245" s="7" t="s">
        <v>180</v>
      </c>
      <c r="H245" s="7" t="s">
        <v>65</v>
      </c>
      <c r="I245" s="10">
        <v>0.32300000000000001</v>
      </c>
      <c r="J245" s="7" t="s">
        <v>215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3">
        <v>0.14000000000000001</v>
      </c>
      <c r="U245" s="13">
        <v>3.3000000000000002E-2</v>
      </c>
      <c r="V245" s="15">
        <v>0.16839999999999999</v>
      </c>
    </row>
    <row r="246" spans="1:22" ht="14.25" customHeight="1" x14ac:dyDescent="0.35">
      <c r="A246" s="6" t="s">
        <v>49</v>
      </c>
      <c r="B246" s="7" t="s">
        <v>50</v>
      </c>
      <c r="C246" s="7" t="s">
        <v>257</v>
      </c>
      <c r="D246" s="7" t="s">
        <v>258</v>
      </c>
      <c r="E246" s="7" t="s">
        <v>282</v>
      </c>
      <c r="F246" s="7" t="s">
        <v>283</v>
      </c>
      <c r="G246" s="7" t="s">
        <v>180</v>
      </c>
      <c r="H246" s="7" t="s">
        <v>65</v>
      </c>
      <c r="I246" s="10">
        <v>0.32400000000000001</v>
      </c>
      <c r="J246" s="7" t="s">
        <v>215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3">
        <v>0.14000000000000001</v>
      </c>
      <c r="U246" s="13">
        <v>3.3000000000000002E-2</v>
      </c>
      <c r="V246" s="15">
        <v>0.16839999999999999</v>
      </c>
    </row>
    <row r="247" spans="1:22" ht="14.25" customHeight="1" x14ac:dyDescent="0.35">
      <c r="A247" s="6" t="s">
        <v>47</v>
      </c>
      <c r="B247" s="7" t="s">
        <v>48</v>
      </c>
      <c r="C247" s="7" t="s">
        <v>257</v>
      </c>
      <c r="D247" s="7" t="s">
        <v>258</v>
      </c>
      <c r="E247" s="7" t="s">
        <v>282</v>
      </c>
      <c r="F247" s="7" t="s">
        <v>283</v>
      </c>
      <c r="G247" s="7" t="s">
        <v>180</v>
      </c>
      <c r="H247" s="7" t="s">
        <v>65</v>
      </c>
      <c r="I247" s="10">
        <v>0.32400000000000001</v>
      </c>
      <c r="J247" s="7" t="s">
        <v>215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3">
        <v>0.14000000000000001</v>
      </c>
      <c r="U247" s="13">
        <v>3.3000000000000002E-2</v>
      </c>
      <c r="V247" s="15">
        <v>0.16839999999999999</v>
      </c>
    </row>
    <row r="248" spans="1:22" ht="14.25" customHeight="1" x14ac:dyDescent="0.35">
      <c r="A248" s="6" t="s">
        <v>217</v>
      </c>
      <c r="B248" s="7" t="s">
        <v>218</v>
      </c>
      <c r="C248" s="7" t="s">
        <v>257</v>
      </c>
      <c r="D248" s="7" t="s">
        <v>258</v>
      </c>
      <c r="E248" s="7" t="s">
        <v>282</v>
      </c>
      <c r="F248" s="7" t="s">
        <v>283</v>
      </c>
      <c r="G248" s="7" t="s">
        <v>86</v>
      </c>
      <c r="H248" s="7" t="s">
        <v>65</v>
      </c>
      <c r="I248" s="10">
        <v>0.113</v>
      </c>
      <c r="J248" s="7" t="s">
        <v>215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3">
        <v>0.14000000000000001</v>
      </c>
      <c r="U248" s="13">
        <v>3.3000000000000002E-2</v>
      </c>
      <c r="V248" s="15">
        <v>0.16839999999999999</v>
      </c>
    </row>
    <row r="249" spans="1:22" ht="14.25" customHeight="1" x14ac:dyDescent="0.35">
      <c r="A249" s="6" t="s">
        <v>209</v>
      </c>
      <c r="B249" s="7" t="s">
        <v>210</v>
      </c>
      <c r="C249" s="7" t="s">
        <v>257</v>
      </c>
      <c r="D249" s="7" t="s">
        <v>258</v>
      </c>
      <c r="E249" s="7" t="s">
        <v>284</v>
      </c>
      <c r="F249" s="7" t="s">
        <v>285</v>
      </c>
      <c r="G249" s="7" t="s">
        <v>102</v>
      </c>
      <c r="H249" s="7" t="s">
        <v>77</v>
      </c>
      <c r="I249" s="10">
        <v>106.69199999999999</v>
      </c>
      <c r="J249" s="7" t="s">
        <v>265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3">
        <v>0</v>
      </c>
      <c r="U249" s="13">
        <v>0</v>
      </c>
      <c r="V249" s="15">
        <v>0</v>
      </c>
    </row>
    <row r="250" spans="1:22" ht="14.25" customHeight="1" x14ac:dyDescent="0.35">
      <c r="A250" s="6" t="s">
        <v>49</v>
      </c>
      <c r="B250" s="7" t="s">
        <v>50</v>
      </c>
      <c r="C250" s="7" t="s">
        <v>257</v>
      </c>
      <c r="D250" s="7" t="s">
        <v>258</v>
      </c>
      <c r="E250" s="7" t="s">
        <v>284</v>
      </c>
      <c r="F250" s="7" t="s">
        <v>285</v>
      </c>
      <c r="G250" s="7" t="s">
        <v>86</v>
      </c>
      <c r="H250" s="7" t="s">
        <v>65</v>
      </c>
      <c r="I250" s="10">
        <v>2229</v>
      </c>
      <c r="J250" s="7" t="s">
        <v>265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3">
        <v>0</v>
      </c>
      <c r="U250" s="13">
        <v>0</v>
      </c>
      <c r="V250" s="15">
        <v>0</v>
      </c>
    </row>
    <row r="251" spans="1:22" ht="14.25" customHeight="1" x14ac:dyDescent="0.35">
      <c r="A251" s="6" t="s">
        <v>40</v>
      </c>
      <c r="B251" s="7" t="s">
        <v>41</v>
      </c>
      <c r="C251" s="7" t="s">
        <v>257</v>
      </c>
      <c r="D251" s="7" t="s">
        <v>258</v>
      </c>
      <c r="E251" s="7" t="s">
        <v>284</v>
      </c>
      <c r="F251" s="7" t="s">
        <v>285</v>
      </c>
      <c r="G251" s="7" t="s">
        <v>86</v>
      </c>
      <c r="H251" s="7" t="s">
        <v>65</v>
      </c>
      <c r="I251" s="10">
        <v>2972</v>
      </c>
      <c r="J251" s="7" t="s">
        <v>265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3">
        <v>0</v>
      </c>
      <c r="U251" s="13">
        <v>0</v>
      </c>
      <c r="V251" s="15">
        <v>0</v>
      </c>
    </row>
    <row r="252" spans="1:22" ht="14.25" customHeight="1" x14ac:dyDescent="0.35">
      <c r="A252" s="6" t="s">
        <v>47</v>
      </c>
      <c r="B252" s="7" t="s">
        <v>48</v>
      </c>
      <c r="C252" s="7" t="s">
        <v>257</v>
      </c>
      <c r="D252" s="7" t="s">
        <v>258</v>
      </c>
      <c r="E252" s="7" t="s">
        <v>284</v>
      </c>
      <c r="F252" s="7" t="s">
        <v>285</v>
      </c>
      <c r="G252" s="7" t="s">
        <v>86</v>
      </c>
      <c r="H252" s="7" t="s">
        <v>65</v>
      </c>
      <c r="I252" s="10">
        <v>2382.0149999999999</v>
      </c>
      <c r="J252" s="7" t="s">
        <v>265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3">
        <v>0</v>
      </c>
      <c r="U252" s="13">
        <v>0</v>
      </c>
      <c r="V252" s="15">
        <v>0</v>
      </c>
    </row>
    <row r="253" spans="1:22" ht="14.25" customHeight="1" x14ac:dyDescent="0.35">
      <c r="A253" s="6" t="s">
        <v>217</v>
      </c>
      <c r="B253" s="7" t="s">
        <v>218</v>
      </c>
      <c r="C253" s="7" t="s">
        <v>257</v>
      </c>
      <c r="D253" s="7" t="s">
        <v>258</v>
      </c>
      <c r="E253" s="7" t="s">
        <v>284</v>
      </c>
      <c r="F253" s="7" t="s">
        <v>285</v>
      </c>
      <c r="G253" s="7" t="s">
        <v>86</v>
      </c>
      <c r="H253" s="7" t="s">
        <v>77</v>
      </c>
      <c r="I253" s="10">
        <v>415.488</v>
      </c>
      <c r="J253" s="7" t="s">
        <v>265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3">
        <v>0</v>
      </c>
      <c r="U253" s="13">
        <v>0</v>
      </c>
      <c r="V253" s="15">
        <v>0</v>
      </c>
    </row>
    <row r="254" spans="1:22" ht="14.25" customHeight="1" x14ac:dyDescent="0.35">
      <c r="A254" s="6" t="s">
        <v>47</v>
      </c>
      <c r="B254" s="7" t="s">
        <v>48</v>
      </c>
      <c r="C254" s="7" t="s">
        <v>257</v>
      </c>
      <c r="D254" s="7" t="s">
        <v>258</v>
      </c>
      <c r="E254" s="7" t="s">
        <v>286</v>
      </c>
      <c r="F254" s="7" t="s">
        <v>287</v>
      </c>
      <c r="G254" s="7" t="s">
        <v>86</v>
      </c>
      <c r="H254" s="7" t="s">
        <v>65</v>
      </c>
      <c r="I254" s="10">
        <v>4764.0309999999999</v>
      </c>
      <c r="J254" s="7" t="s">
        <v>265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3">
        <v>0</v>
      </c>
      <c r="U254" s="13">
        <v>0</v>
      </c>
      <c r="V254" s="15">
        <v>0</v>
      </c>
    </row>
    <row r="255" spans="1:22" ht="14.25" customHeight="1" x14ac:dyDescent="0.35">
      <c r="A255" s="6" t="s">
        <v>40</v>
      </c>
      <c r="B255" s="7" t="s">
        <v>41</v>
      </c>
      <c r="C255" s="7" t="s">
        <v>257</v>
      </c>
      <c r="D255" s="7" t="s">
        <v>258</v>
      </c>
      <c r="E255" s="7" t="s">
        <v>286</v>
      </c>
      <c r="F255" s="7" t="s">
        <v>287</v>
      </c>
      <c r="G255" s="7" t="s">
        <v>86</v>
      </c>
      <c r="H255" s="7" t="s">
        <v>65</v>
      </c>
      <c r="I255" s="10">
        <v>5944</v>
      </c>
      <c r="J255" s="7" t="s">
        <v>265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3">
        <v>0</v>
      </c>
      <c r="U255" s="13">
        <v>0</v>
      </c>
      <c r="V255" s="15">
        <v>0</v>
      </c>
    </row>
    <row r="256" spans="1:22" ht="14.25" customHeight="1" x14ac:dyDescent="0.35">
      <c r="A256" s="6" t="s">
        <v>217</v>
      </c>
      <c r="B256" s="7" t="s">
        <v>218</v>
      </c>
      <c r="C256" s="7" t="s">
        <v>257</v>
      </c>
      <c r="D256" s="7" t="s">
        <v>258</v>
      </c>
      <c r="E256" s="7" t="s">
        <v>286</v>
      </c>
      <c r="F256" s="7" t="s">
        <v>287</v>
      </c>
      <c r="G256" s="7" t="s">
        <v>86</v>
      </c>
      <c r="H256" s="7" t="s">
        <v>77</v>
      </c>
      <c r="I256" s="10">
        <v>830.976</v>
      </c>
      <c r="J256" s="7" t="s">
        <v>265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3">
        <v>0</v>
      </c>
      <c r="U256" s="13">
        <v>0</v>
      </c>
      <c r="V256" s="15">
        <v>0</v>
      </c>
    </row>
    <row r="257" spans="1:22" ht="14.25" customHeight="1" x14ac:dyDescent="0.35">
      <c r="A257" s="6" t="s">
        <v>49</v>
      </c>
      <c r="B257" s="7" t="s">
        <v>50</v>
      </c>
      <c r="C257" s="7" t="s">
        <v>257</v>
      </c>
      <c r="D257" s="7" t="s">
        <v>258</v>
      </c>
      <c r="E257" s="7" t="s">
        <v>286</v>
      </c>
      <c r="F257" s="7" t="s">
        <v>287</v>
      </c>
      <c r="G257" s="7" t="s">
        <v>86</v>
      </c>
      <c r="H257" s="7" t="s">
        <v>65</v>
      </c>
      <c r="I257" s="10">
        <v>4458</v>
      </c>
      <c r="J257" s="7" t="s">
        <v>265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3">
        <v>0</v>
      </c>
      <c r="U257" s="13">
        <v>0</v>
      </c>
      <c r="V257" s="15">
        <v>0</v>
      </c>
    </row>
    <row r="258" spans="1:22" ht="14.25" customHeight="1" x14ac:dyDescent="0.35">
      <c r="A258" s="6" t="s">
        <v>209</v>
      </c>
      <c r="B258" s="7" t="s">
        <v>210</v>
      </c>
      <c r="C258" s="7" t="s">
        <v>257</v>
      </c>
      <c r="D258" s="7" t="s">
        <v>258</v>
      </c>
      <c r="E258" s="7" t="s">
        <v>286</v>
      </c>
      <c r="F258" s="7" t="s">
        <v>287</v>
      </c>
      <c r="G258" s="7" t="s">
        <v>102</v>
      </c>
      <c r="H258" s="7" t="s">
        <v>77</v>
      </c>
      <c r="I258" s="10">
        <v>213.114</v>
      </c>
      <c r="J258" s="7" t="s">
        <v>265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3">
        <v>0</v>
      </c>
      <c r="U258" s="13">
        <v>0</v>
      </c>
      <c r="V258" s="15">
        <v>0</v>
      </c>
    </row>
    <row r="259" spans="1:22" ht="14.25" customHeight="1" x14ac:dyDescent="0.35">
      <c r="A259" s="6" t="s">
        <v>47</v>
      </c>
      <c r="B259" s="7" t="s">
        <v>48</v>
      </c>
      <c r="C259" s="7" t="s">
        <v>257</v>
      </c>
      <c r="D259" s="7" t="s">
        <v>258</v>
      </c>
      <c r="E259" s="7" t="s">
        <v>288</v>
      </c>
      <c r="F259" s="7" t="s">
        <v>289</v>
      </c>
      <c r="G259" s="7" t="s">
        <v>180</v>
      </c>
      <c r="H259" s="7" t="s">
        <v>65</v>
      </c>
      <c r="I259" s="10">
        <v>0</v>
      </c>
      <c r="J259" s="7" t="s">
        <v>256</v>
      </c>
      <c r="K259" s="11">
        <v>0</v>
      </c>
      <c r="L259" s="11">
        <v>-8.3904920000000001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-8.3904920000000001</v>
      </c>
      <c r="S259" s="11">
        <v>-8.1136060000000008</v>
      </c>
      <c r="T259" s="13">
        <v>0.14000011815999999</v>
      </c>
      <c r="U259" s="13">
        <v>3.3000000000000002E-2</v>
      </c>
      <c r="V259" s="15">
        <v>0.16839999999999999</v>
      </c>
    </row>
    <row r="260" spans="1:22" ht="14.25" customHeight="1" x14ac:dyDescent="0.35">
      <c r="A260" s="6" t="s">
        <v>209</v>
      </c>
      <c r="B260" s="7" t="s">
        <v>210</v>
      </c>
      <c r="C260" s="7" t="s">
        <v>257</v>
      </c>
      <c r="D260" s="7" t="s">
        <v>258</v>
      </c>
      <c r="E260" s="7" t="s">
        <v>288</v>
      </c>
      <c r="F260" s="7" t="s">
        <v>289</v>
      </c>
      <c r="G260" s="7" t="s">
        <v>103</v>
      </c>
      <c r="H260" s="7" t="s">
        <v>65</v>
      </c>
      <c r="I260" s="10">
        <v>0</v>
      </c>
      <c r="J260" s="7" t="s">
        <v>256</v>
      </c>
      <c r="K260" s="11">
        <v>0</v>
      </c>
      <c r="L260" s="11">
        <v>-2.4605169999999998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-2.4605169999999998</v>
      </c>
      <c r="S260" s="11">
        <v>-2.3793199999999999</v>
      </c>
      <c r="T260" s="13">
        <v>0.14000011815999999</v>
      </c>
      <c r="U260" s="13">
        <v>3.3000000000000002E-2</v>
      </c>
      <c r="V260" s="15">
        <v>0.16839999999999999</v>
      </c>
    </row>
    <row r="261" spans="1:22" ht="14.25" customHeight="1" x14ac:dyDescent="0.35">
      <c r="A261" s="6" t="s">
        <v>217</v>
      </c>
      <c r="B261" s="7" t="s">
        <v>218</v>
      </c>
      <c r="C261" s="7" t="s">
        <v>257</v>
      </c>
      <c r="D261" s="7" t="s">
        <v>258</v>
      </c>
      <c r="E261" s="7" t="s">
        <v>288</v>
      </c>
      <c r="F261" s="7" t="s">
        <v>289</v>
      </c>
      <c r="G261" s="7" t="s">
        <v>86</v>
      </c>
      <c r="H261" s="7" t="s">
        <v>65</v>
      </c>
      <c r="I261" s="10">
        <v>0</v>
      </c>
      <c r="J261" s="7" t="s">
        <v>256</v>
      </c>
      <c r="K261" s="11">
        <v>0</v>
      </c>
      <c r="L261" s="11">
        <v>-3.1471840000000002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-3.1471840000000002</v>
      </c>
      <c r="S261" s="11">
        <v>-3.0433270000000001</v>
      </c>
      <c r="T261" s="13">
        <v>0.14000011815999999</v>
      </c>
      <c r="U261" s="13">
        <v>3.3000000000000002E-2</v>
      </c>
      <c r="V261" s="15">
        <v>0.16839999999999999</v>
      </c>
    </row>
    <row r="262" spans="1:22" ht="14.25" customHeight="1" x14ac:dyDescent="0.35">
      <c r="A262" s="6" t="s">
        <v>40</v>
      </c>
      <c r="B262" s="7" t="s">
        <v>41</v>
      </c>
      <c r="C262" s="7" t="s">
        <v>257</v>
      </c>
      <c r="D262" s="7" t="s">
        <v>258</v>
      </c>
      <c r="E262" s="7" t="s">
        <v>288</v>
      </c>
      <c r="F262" s="7" t="s">
        <v>289</v>
      </c>
      <c r="G262" s="7" t="s">
        <v>180</v>
      </c>
      <c r="H262" s="7" t="s">
        <v>65</v>
      </c>
      <c r="I262" s="10">
        <v>0</v>
      </c>
      <c r="J262" s="7" t="s">
        <v>256</v>
      </c>
      <c r="K262" s="11">
        <v>0</v>
      </c>
      <c r="L262" s="11">
        <v>-10.468724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-10.468724</v>
      </c>
      <c r="S262" s="11">
        <v>-10.123256</v>
      </c>
      <c r="T262" s="13">
        <v>0.14000011815999999</v>
      </c>
      <c r="U262" s="13">
        <v>3.3000000000000002E-2</v>
      </c>
      <c r="V262" s="15">
        <v>0.16839999999999999</v>
      </c>
    </row>
    <row r="263" spans="1:22" ht="14.25" customHeight="1" x14ac:dyDescent="0.35">
      <c r="A263" s="6" t="s">
        <v>217</v>
      </c>
      <c r="B263" s="7" t="s">
        <v>218</v>
      </c>
      <c r="C263" s="7" t="s">
        <v>257</v>
      </c>
      <c r="D263" s="7" t="s">
        <v>258</v>
      </c>
      <c r="E263" s="7" t="s">
        <v>290</v>
      </c>
      <c r="F263" s="7" t="s">
        <v>291</v>
      </c>
      <c r="G263" s="7" t="s">
        <v>64</v>
      </c>
      <c r="H263" s="7" t="s">
        <v>65</v>
      </c>
      <c r="I263" s="10">
        <v>2206.5340000000001</v>
      </c>
      <c r="J263" s="7" t="s">
        <v>265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47.924661</v>
      </c>
      <c r="S263" s="11">
        <v>46.343147000000002</v>
      </c>
      <c r="T263" s="13">
        <v>0.14000003168</v>
      </c>
      <c r="U263" s="13">
        <v>3.3000000000000002E-2</v>
      </c>
      <c r="V263" s="15">
        <v>0.16839999999999999</v>
      </c>
    </row>
    <row r="264" spans="1:22" ht="14.25" customHeight="1" x14ac:dyDescent="0.35">
      <c r="A264" s="6" t="s">
        <v>40</v>
      </c>
      <c r="B264" s="7" t="s">
        <v>41</v>
      </c>
      <c r="C264" s="7" t="s">
        <v>257</v>
      </c>
      <c r="D264" s="7" t="s">
        <v>258</v>
      </c>
      <c r="E264" s="7" t="s">
        <v>290</v>
      </c>
      <c r="F264" s="7" t="s">
        <v>291</v>
      </c>
      <c r="G264" s="7" t="s">
        <v>64</v>
      </c>
      <c r="H264" s="7" t="s">
        <v>65</v>
      </c>
      <c r="I264" s="10">
        <v>5944</v>
      </c>
      <c r="J264" s="7" t="s">
        <v>265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129.10056</v>
      </c>
      <c r="S264" s="11">
        <v>124.840242</v>
      </c>
      <c r="T264" s="13">
        <v>0.14000003168</v>
      </c>
      <c r="U264" s="13">
        <v>3.3000000000000002E-2</v>
      </c>
      <c r="V264" s="15">
        <v>0.16839999999999999</v>
      </c>
    </row>
    <row r="265" spans="1:22" ht="14.25" customHeight="1" x14ac:dyDescent="0.35">
      <c r="A265" s="6" t="s">
        <v>47</v>
      </c>
      <c r="B265" s="7" t="s">
        <v>48</v>
      </c>
      <c r="C265" s="7" t="s">
        <v>257</v>
      </c>
      <c r="D265" s="7" t="s">
        <v>258</v>
      </c>
      <c r="E265" s="7" t="s">
        <v>290</v>
      </c>
      <c r="F265" s="7" t="s">
        <v>291</v>
      </c>
      <c r="G265" s="7" t="s">
        <v>64</v>
      </c>
      <c r="H265" s="7" t="s">
        <v>65</v>
      </c>
      <c r="I265" s="10">
        <v>4764.0309999999999</v>
      </c>
      <c r="J265" s="7" t="s">
        <v>265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103.472112</v>
      </c>
      <c r="S265" s="11">
        <v>100.05753199999999</v>
      </c>
      <c r="T265" s="13">
        <v>0.14000003168</v>
      </c>
      <c r="U265" s="13">
        <v>3.3000000000000002E-2</v>
      </c>
      <c r="V265" s="15">
        <v>0.16839999999999999</v>
      </c>
    </row>
    <row r="266" spans="1:22" ht="14.25" customHeight="1" x14ac:dyDescent="0.35">
      <c r="A266" s="6" t="s">
        <v>209</v>
      </c>
      <c r="B266" s="7" t="s">
        <v>210</v>
      </c>
      <c r="C266" s="7" t="s">
        <v>257</v>
      </c>
      <c r="D266" s="7" t="s">
        <v>258</v>
      </c>
      <c r="E266" s="7" t="s">
        <v>290</v>
      </c>
      <c r="F266" s="7" t="s">
        <v>291</v>
      </c>
      <c r="G266" s="7" t="s">
        <v>102</v>
      </c>
      <c r="H266" s="7" t="s">
        <v>65</v>
      </c>
      <c r="I266" s="10">
        <v>1823.271</v>
      </c>
      <c r="J266" s="7" t="s">
        <v>265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39.600515999999999</v>
      </c>
      <c r="S266" s="11">
        <v>38.293698999999997</v>
      </c>
      <c r="T266" s="13">
        <v>0.14000003168</v>
      </c>
      <c r="U266" s="13">
        <v>3.3000000000000002E-2</v>
      </c>
      <c r="V266" s="15">
        <v>0.16839999999999999</v>
      </c>
    </row>
    <row r="267" spans="1:22" ht="14.25" customHeight="1" x14ac:dyDescent="0.35">
      <c r="A267" s="6" t="s">
        <v>40</v>
      </c>
      <c r="B267" s="7" t="s">
        <v>41</v>
      </c>
      <c r="C267" s="7" t="s">
        <v>257</v>
      </c>
      <c r="D267" s="7" t="s">
        <v>258</v>
      </c>
      <c r="E267" s="7" t="s">
        <v>292</v>
      </c>
      <c r="F267" s="7" t="s">
        <v>293</v>
      </c>
      <c r="G267" s="7" t="s">
        <v>180</v>
      </c>
      <c r="H267" s="7" t="s">
        <v>65</v>
      </c>
      <c r="I267" s="10">
        <v>3424.7060000000001</v>
      </c>
      <c r="J267" s="7" t="s">
        <v>256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0.224216</v>
      </c>
      <c r="S267" s="11">
        <v>0.21681700000000001</v>
      </c>
      <c r="T267" s="13">
        <v>0.14000997821</v>
      </c>
      <c r="U267" s="13">
        <v>3.3000000000000002E-2</v>
      </c>
      <c r="V267" s="15">
        <v>0.16839999999999999</v>
      </c>
    </row>
    <row r="268" spans="1:22" ht="14.25" customHeight="1" x14ac:dyDescent="0.35">
      <c r="A268" s="6" t="s">
        <v>47</v>
      </c>
      <c r="B268" s="7" t="s">
        <v>48</v>
      </c>
      <c r="C268" s="7" t="s">
        <v>257</v>
      </c>
      <c r="D268" s="7" t="s">
        <v>258</v>
      </c>
      <c r="E268" s="7" t="s">
        <v>292</v>
      </c>
      <c r="F268" s="7" t="s">
        <v>293</v>
      </c>
      <c r="G268" s="7" t="s">
        <v>180</v>
      </c>
      <c r="H268" s="7" t="s">
        <v>65</v>
      </c>
      <c r="I268" s="10">
        <v>2744.8530000000001</v>
      </c>
      <c r="J268" s="7" t="s">
        <v>256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0.17973600000000001</v>
      </c>
      <c r="S268" s="11">
        <v>0.17380499999999999</v>
      </c>
      <c r="T268" s="13">
        <v>0.14000997821</v>
      </c>
      <c r="U268" s="13">
        <v>3.3000000000000002E-2</v>
      </c>
      <c r="V268" s="15">
        <v>0.16839999999999999</v>
      </c>
    </row>
    <row r="269" spans="1:22" ht="14.25" customHeight="1" x14ac:dyDescent="0.35">
      <c r="A269" s="6" t="s">
        <v>217</v>
      </c>
      <c r="B269" s="7" t="s">
        <v>218</v>
      </c>
      <c r="C269" s="7" t="s">
        <v>257</v>
      </c>
      <c r="D269" s="7" t="s">
        <v>258</v>
      </c>
      <c r="E269" s="7" t="s">
        <v>292</v>
      </c>
      <c r="F269" s="7" t="s">
        <v>293</v>
      </c>
      <c r="G269" s="7" t="s">
        <v>64</v>
      </c>
      <c r="H269" s="7" t="s">
        <v>65</v>
      </c>
      <c r="I269" s="10">
        <v>1029.5619999999999</v>
      </c>
      <c r="J269" s="7" t="s">
        <v>256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6.7424999999999999E-2</v>
      </c>
      <c r="S269" s="11">
        <v>6.5199999999999994E-2</v>
      </c>
      <c r="T269" s="13">
        <v>0.14000997821</v>
      </c>
      <c r="U269" s="13">
        <v>3.3000000000000002E-2</v>
      </c>
      <c r="V269" s="15">
        <v>0.16839999999999999</v>
      </c>
    </row>
    <row r="270" spans="1:22" ht="14.25" customHeight="1" x14ac:dyDescent="0.35">
      <c r="A270" s="6" t="s">
        <v>209</v>
      </c>
      <c r="B270" s="7" t="s">
        <v>210</v>
      </c>
      <c r="C270" s="7" t="s">
        <v>257</v>
      </c>
      <c r="D270" s="7" t="s">
        <v>258</v>
      </c>
      <c r="E270" s="7" t="s">
        <v>292</v>
      </c>
      <c r="F270" s="7" t="s">
        <v>293</v>
      </c>
      <c r="G270" s="7" t="s">
        <v>103</v>
      </c>
      <c r="H270" s="7" t="s">
        <v>65</v>
      </c>
      <c r="I270" s="10">
        <v>804.923</v>
      </c>
      <c r="J270" s="7" t="s">
        <v>256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5.2712000000000002E-2</v>
      </c>
      <c r="S270" s="11">
        <v>5.0972999999999997E-2</v>
      </c>
      <c r="T270" s="13">
        <v>0.14000997821</v>
      </c>
      <c r="U270" s="13">
        <v>3.3000000000000002E-2</v>
      </c>
      <c r="V270" s="15">
        <v>0.16839999999999999</v>
      </c>
    </row>
    <row r="271" spans="1:22" ht="14.25" customHeight="1" x14ac:dyDescent="0.35">
      <c r="A271" s="6" t="s">
        <v>217</v>
      </c>
      <c r="B271" s="7" t="s">
        <v>218</v>
      </c>
      <c r="C271" s="7" t="s">
        <v>257</v>
      </c>
      <c r="D271" s="7" t="s">
        <v>258</v>
      </c>
      <c r="E271" s="7" t="s">
        <v>294</v>
      </c>
      <c r="F271" s="7" t="s">
        <v>295</v>
      </c>
      <c r="G271" s="7" t="s">
        <v>86</v>
      </c>
      <c r="H271" s="7" t="s">
        <v>65</v>
      </c>
      <c r="I271" s="10">
        <v>8.2270000000000003</v>
      </c>
      <c r="J271" s="7" t="s">
        <v>215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3">
        <v>0.14000000000000001</v>
      </c>
      <c r="U271" s="13">
        <v>3.3000000000000002E-2</v>
      </c>
      <c r="V271" s="15">
        <v>0.16839999999999999</v>
      </c>
    </row>
    <row r="272" spans="1:22" ht="14.25" customHeight="1" x14ac:dyDescent="0.35">
      <c r="A272" s="6" t="s">
        <v>49</v>
      </c>
      <c r="B272" s="7" t="s">
        <v>50</v>
      </c>
      <c r="C272" s="7" t="s">
        <v>257</v>
      </c>
      <c r="D272" s="7" t="s">
        <v>258</v>
      </c>
      <c r="E272" s="7" t="s">
        <v>294</v>
      </c>
      <c r="F272" s="7" t="s">
        <v>295</v>
      </c>
      <c r="G272" s="7" t="s">
        <v>86</v>
      </c>
      <c r="H272" s="7" t="s">
        <v>65</v>
      </c>
      <c r="I272" s="10">
        <v>0</v>
      </c>
      <c r="J272" s="7" t="s">
        <v>215</v>
      </c>
      <c r="K272" s="11">
        <v>0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3">
        <v>0.14000000000000001</v>
      </c>
      <c r="U272" s="13">
        <v>3.3000000000000002E-2</v>
      </c>
      <c r="V272" s="15">
        <v>0.16839999999999999</v>
      </c>
    </row>
    <row r="273" spans="1:22" ht="14.25" customHeight="1" x14ac:dyDescent="0.35">
      <c r="A273" s="6" t="s">
        <v>40</v>
      </c>
      <c r="B273" s="7" t="s">
        <v>41</v>
      </c>
      <c r="C273" s="7" t="s">
        <v>257</v>
      </c>
      <c r="D273" s="7" t="s">
        <v>258</v>
      </c>
      <c r="E273" s="7" t="s">
        <v>294</v>
      </c>
      <c r="F273" s="7" t="s">
        <v>295</v>
      </c>
      <c r="G273" s="7" t="s">
        <v>180</v>
      </c>
      <c r="H273" s="7" t="s">
        <v>65</v>
      </c>
      <c r="I273" s="10">
        <v>35.841999999999999</v>
      </c>
      <c r="J273" s="7" t="s">
        <v>215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3">
        <v>0.14000000000000001</v>
      </c>
      <c r="U273" s="13">
        <v>3.3000000000000002E-2</v>
      </c>
      <c r="V273" s="15">
        <v>0.16839999999999999</v>
      </c>
    </row>
    <row r="274" spans="1:22" ht="14.25" customHeight="1" x14ac:dyDescent="0.35">
      <c r="A274" s="6" t="s">
        <v>209</v>
      </c>
      <c r="B274" s="7" t="s">
        <v>210</v>
      </c>
      <c r="C274" s="7" t="s">
        <v>257</v>
      </c>
      <c r="D274" s="7" t="s">
        <v>258</v>
      </c>
      <c r="E274" s="7" t="s">
        <v>294</v>
      </c>
      <c r="F274" s="7" t="s">
        <v>295</v>
      </c>
      <c r="G274" s="7" t="s">
        <v>102</v>
      </c>
      <c r="H274" s="7" t="s">
        <v>65</v>
      </c>
      <c r="I274" s="10">
        <v>0.73599999999999999</v>
      </c>
      <c r="J274" s="7" t="s">
        <v>215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3">
        <v>0.14000000000000001</v>
      </c>
      <c r="U274" s="13">
        <v>3.3000000000000002E-2</v>
      </c>
      <c r="V274" s="15">
        <v>0.16839999999999999</v>
      </c>
    </row>
    <row r="275" spans="1:22" ht="14.25" customHeight="1" x14ac:dyDescent="0.35">
      <c r="A275" s="6" t="s">
        <v>47</v>
      </c>
      <c r="B275" s="7" t="s">
        <v>48</v>
      </c>
      <c r="C275" s="7" t="s">
        <v>257</v>
      </c>
      <c r="D275" s="7" t="s">
        <v>258</v>
      </c>
      <c r="E275" s="7" t="s">
        <v>294</v>
      </c>
      <c r="F275" s="7" t="s">
        <v>295</v>
      </c>
      <c r="G275" s="7" t="s">
        <v>180</v>
      </c>
      <c r="H275" s="7" t="s">
        <v>65</v>
      </c>
      <c r="I275" s="10">
        <v>0.20100000000000001</v>
      </c>
      <c r="J275" s="7" t="s">
        <v>215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3">
        <v>0.14000000000000001</v>
      </c>
      <c r="U275" s="13">
        <v>3.3000000000000002E-2</v>
      </c>
      <c r="V275" s="15">
        <v>0.16839999999999999</v>
      </c>
    </row>
    <row r="276" spans="1:22" ht="14.25" customHeight="1" x14ac:dyDescent="0.35">
      <c r="A276" s="6" t="s">
        <v>209</v>
      </c>
      <c r="B276" s="7" t="s">
        <v>210</v>
      </c>
      <c r="C276" s="7" t="s">
        <v>257</v>
      </c>
      <c r="D276" s="7" t="s">
        <v>258</v>
      </c>
      <c r="E276" s="7" t="s">
        <v>286</v>
      </c>
      <c r="F276" s="7" t="s">
        <v>296</v>
      </c>
      <c r="G276" s="7" t="s">
        <v>102</v>
      </c>
      <c r="H276" s="7" t="s">
        <v>77</v>
      </c>
      <c r="I276" s="10">
        <v>106.69199999999999</v>
      </c>
      <c r="J276" s="7" t="s">
        <v>265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3">
        <v>0</v>
      </c>
      <c r="U276" s="13">
        <v>0</v>
      </c>
      <c r="V276" s="15">
        <v>0</v>
      </c>
    </row>
    <row r="277" spans="1:22" ht="14.25" customHeight="1" x14ac:dyDescent="0.35">
      <c r="A277" s="6" t="s">
        <v>217</v>
      </c>
      <c r="B277" s="7" t="s">
        <v>218</v>
      </c>
      <c r="C277" s="7" t="s">
        <v>257</v>
      </c>
      <c r="D277" s="7" t="s">
        <v>258</v>
      </c>
      <c r="E277" s="7" t="s">
        <v>286</v>
      </c>
      <c r="F277" s="7" t="s">
        <v>296</v>
      </c>
      <c r="G277" s="7" t="s">
        <v>86</v>
      </c>
      <c r="H277" s="7" t="s">
        <v>77</v>
      </c>
      <c r="I277" s="10">
        <v>415.488</v>
      </c>
      <c r="J277" s="7" t="s">
        <v>265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3">
        <v>0</v>
      </c>
      <c r="U277" s="13">
        <v>0</v>
      </c>
      <c r="V277" s="15">
        <v>0</v>
      </c>
    </row>
    <row r="278" spans="1:22" ht="14.25" customHeight="1" x14ac:dyDescent="0.35">
      <c r="A278" s="6" t="s">
        <v>49</v>
      </c>
      <c r="B278" s="7" t="s">
        <v>50</v>
      </c>
      <c r="C278" s="7" t="s">
        <v>257</v>
      </c>
      <c r="D278" s="7" t="s">
        <v>258</v>
      </c>
      <c r="E278" s="7" t="s">
        <v>286</v>
      </c>
      <c r="F278" s="7" t="s">
        <v>296</v>
      </c>
      <c r="G278" s="7" t="s">
        <v>86</v>
      </c>
      <c r="H278" s="7" t="s">
        <v>65</v>
      </c>
      <c r="I278" s="10">
        <v>2229</v>
      </c>
      <c r="J278" s="7" t="s">
        <v>265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3">
        <v>0</v>
      </c>
      <c r="U278" s="13">
        <v>0</v>
      </c>
      <c r="V278" s="15">
        <v>0</v>
      </c>
    </row>
    <row r="279" spans="1:22" ht="14.25" customHeight="1" x14ac:dyDescent="0.35">
      <c r="A279" s="6" t="s">
        <v>40</v>
      </c>
      <c r="B279" s="7" t="s">
        <v>41</v>
      </c>
      <c r="C279" s="7" t="s">
        <v>257</v>
      </c>
      <c r="D279" s="7" t="s">
        <v>258</v>
      </c>
      <c r="E279" s="7" t="s">
        <v>286</v>
      </c>
      <c r="F279" s="7" t="s">
        <v>296</v>
      </c>
      <c r="G279" s="7" t="s">
        <v>86</v>
      </c>
      <c r="H279" s="7" t="s">
        <v>65</v>
      </c>
      <c r="I279" s="10">
        <v>2972</v>
      </c>
      <c r="J279" s="7" t="s">
        <v>265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3">
        <v>0</v>
      </c>
      <c r="U279" s="13">
        <v>0</v>
      </c>
      <c r="V279" s="15">
        <v>0</v>
      </c>
    </row>
    <row r="280" spans="1:22" ht="14.25" customHeight="1" x14ac:dyDescent="0.35">
      <c r="A280" s="6" t="s">
        <v>47</v>
      </c>
      <c r="B280" s="7" t="s">
        <v>48</v>
      </c>
      <c r="C280" s="7" t="s">
        <v>257</v>
      </c>
      <c r="D280" s="7" t="s">
        <v>258</v>
      </c>
      <c r="E280" s="7" t="s">
        <v>286</v>
      </c>
      <c r="F280" s="7" t="s">
        <v>296</v>
      </c>
      <c r="G280" s="7" t="s">
        <v>86</v>
      </c>
      <c r="H280" s="7" t="s">
        <v>65</v>
      </c>
      <c r="I280" s="10">
        <v>2382.0149999999999</v>
      </c>
      <c r="J280" s="7" t="s">
        <v>265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3">
        <v>0</v>
      </c>
      <c r="U280" s="13">
        <v>0</v>
      </c>
      <c r="V280" s="15">
        <v>0</v>
      </c>
    </row>
    <row r="281" spans="1:22" ht="14.25" customHeight="1" x14ac:dyDescent="0.35">
      <c r="A281" s="6" t="s">
        <v>209</v>
      </c>
      <c r="B281" s="7" t="s">
        <v>210</v>
      </c>
      <c r="C281" s="7" t="s">
        <v>257</v>
      </c>
      <c r="D281" s="7" t="s">
        <v>258</v>
      </c>
      <c r="E281" s="7" t="s">
        <v>297</v>
      </c>
      <c r="F281" s="7" t="s">
        <v>298</v>
      </c>
      <c r="G281" s="7" t="s">
        <v>102</v>
      </c>
      <c r="H281" s="7" t="s">
        <v>77</v>
      </c>
      <c r="I281" s="10">
        <v>852.45799999999997</v>
      </c>
      <c r="J281" s="7" t="s">
        <v>256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3">
        <v>0</v>
      </c>
      <c r="U281" s="13">
        <v>0</v>
      </c>
      <c r="V281" s="15">
        <v>0</v>
      </c>
    </row>
    <row r="282" spans="1:22" ht="14.25" customHeight="1" x14ac:dyDescent="0.35">
      <c r="A282" s="6" t="s">
        <v>47</v>
      </c>
      <c r="B282" s="7" t="s">
        <v>48</v>
      </c>
      <c r="C282" s="7" t="s">
        <v>257</v>
      </c>
      <c r="D282" s="7" t="s">
        <v>258</v>
      </c>
      <c r="E282" s="7" t="s">
        <v>297</v>
      </c>
      <c r="F282" s="7" t="s">
        <v>298</v>
      </c>
      <c r="G282" s="7" t="s">
        <v>86</v>
      </c>
      <c r="H282" s="7" t="s">
        <v>65</v>
      </c>
      <c r="I282" s="10">
        <v>19056.121999999999</v>
      </c>
      <c r="J282" s="7" t="s">
        <v>256</v>
      </c>
      <c r="K282" s="11">
        <v>0</v>
      </c>
      <c r="L282" s="11">
        <v>0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3">
        <v>0</v>
      </c>
      <c r="U282" s="13">
        <v>0</v>
      </c>
      <c r="V282" s="15">
        <v>0</v>
      </c>
    </row>
    <row r="283" spans="1:22" ht="14.25" customHeight="1" x14ac:dyDescent="0.35">
      <c r="A283" s="6" t="s">
        <v>40</v>
      </c>
      <c r="B283" s="7" t="s">
        <v>41</v>
      </c>
      <c r="C283" s="7" t="s">
        <v>257</v>
      </c>
      <c r="D283" s="7" t="s">
        <v>258</v>
      </c>
      <c r="E283" s="7" t="s">
        <v>297</v>
      </c>
      <c r="F283" s="7" t="s">
        <v>298</v>
      </c>
      <c r="G283" s="7" t="s">
        <v>86</v>
      </c>
      <c r="H283" s="7" t="s">
        <v>65</v>
      </c>
      <c r="I283" s="10">
        <v>23776</v>
      </c>
      <c r="J283" s="7" t="s">
        <v>256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3">
        <v>0</v>
      </c>
      <c r="U283" s="13">
        <v>0</v>
      </c>
      <c r="V283" s="15">
        <v>0</v>
      </c>
    </row>
    <row r="284" spans="1:22" ht="14.25" customHeight="1" x14ac:dyDescent="0.35">
      <c r="A284" s="6" t="s">
        <v>217</v>
      </c>
      <c r="B284" s="7" t="s">
        <v>218</v>
      </c>
      <c r="C284" s="7" t="s">
        <v>257</v>
      </c>
      <c r="D284" s="7" t="s">
        <v>258</v>
      </c>
      <c r="E284" s="7" t="s">
        <v>297</v>
      </c>
      <c r="F284" s="7" t="s">
        <v>298</v>
      </c>
      <c r="G284" s="7" t="s">
        <v>86</v>
      </c>
      <c r="H284" s="7" t="s">
        <v>77</v>
      </c>
      <c r="I284" s="10">
        <v>3323.904</v>
      </c>
      <c r="J284" s="7" t="s">
        <v>256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3">
        <v>0</v>
      </c>
      <c r="U284" s="13">
        <v>0</v>
      </c>
      <c r="V284" s="15">
        <v>0</v>
      </c>
    </row>
    <row r="285" spans="1:22" ht="14.25" customHeight="1" x14ac:dyDescent="0.35">
      <c r="A285" s="6" t="s">
        <v>49</v>
      </c>
      <c r="B285" s="7" t="s">
        <v>50</v>
      </c>
      <c r="C285" s="7" t="s">
        <v>257</v>
      </c>
      <c r="D285" s="7" t="s">
        <v>258</v>
      </c>
      <c r="E285" s="7" t="s">
        <v>297</v>
      </c>
      <c r="F285" s="7" t="s">
        <v>298</v>
      </c>
      <c r="G285" s="7" t="s">
        <v>86</v>
      </c>
      <c r="H285" s="7" t="s">
        <v>65</v>
      </c>
      <c r="I285" s="10">
        <v>17832</v>
      </c>
      <c r="J285" s="7" t="s">
        <v>256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3">
        <v>0</v>
      </c>
      <c r="U285" s="13">
        <v>0</v>
      </c>
      <c r="V285" s="15">
        <v>0</v>
      </c>
    </row>
    <row r="286" spans="1:22" ht="14.25" customHeight="1" x14ac:dyDescent="0.35">
      <c r="A286" s="6" t="s">
        <v>209</v>
      </c>
      <c r="B286" s="7" t="s">
        <v>210</v>
      </c>
      <c r="C286" s="7" t="s">
        <v>257</v>
      </c>
      <c r="D286" s="7" t="s">
        <v>258</v>
      </c>
      <c r="E286" s="7" t="s">
        <v>299</v>
      </c>
      <c r="F286" s="7" t="s">
        <v>300</v>
      </c>
      <c r="G286" s="7" t="s">
        <v>102</v>
      </c>
      <c r="H286" s="7" t="s">
        <v>65</v>
      </c>
      <c r="I286" s="10">
        <v>40.033999999999999</v>
      </c>
      <c r="J286" s="7" t="s">
        <v>215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3">
        <v>0.14000000000000001</v>
      </c>
      <c r="U286" s="13">
        <v>3.3000000000000002E-2</v>
      </c>
      <c r="V286" s="15">
        <v>0.16839999999999999</v>
      </c>
    </row>
    <row r="287" spans="1:22" ht="14.25" customHeight="1" x14ac:dyDescent="0.35">
      <c r="A287" s="6" t="s">
        <v>49</v>
      </c>
      <c r="B287" s="7" t="s">
        <v>50</v>
      </c>
      <c r="C287" s="7" t="s">
        <v>257</v>
      </c>
      <c r="D287" s="7" t="s">
        <v>258</v>
      </c>
      <c r="E287" s="7" t="s">
        <v>299</v>
      </c>
      <c r="F287" s="7" t="s">
        <v>300</v>
      </c>
      <c r="G287" s="7" t="s">
        <v>180</v>
      </c>
      <c r="H287" s="7" t="s">
        <v>65</v>
      </c>
      <c r="I287" s="10">
        <v>146.02000000000001</v>
      </c>
      <c r="J287" s="7" t="s">
        <v>215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3">
        <v>0.14000000000000001</v>
      </c>
      <c r="U287" s="13">
        <v>3.3000000000000002E-2</v>
      </c>
      <c r="V287" s="15">
        <v>0.16839999999999999</v>
      </c>
    </row>
    <row r="288" spans="1:22" ht="14.25" customHeight="1" x14ac:dyDescent="0.35">
      <c r="A288" s="6" t="s">
        <v>47</v>
      </c>
      <c r="B288" s="7" t="s">
        <v>48</v>
      </c>
      <c r="C288" s="7" t="s">
        <v>257</v>
      </c>
      <c r="D288" s="7" t="s">
        <v>258</v>
      </c>
      <c r="E288" s="7" t="s">
        <v>299</v>
      </c>
      <c r="F288" s="7" t="s">
        <v>300</v>
      </c>
      <c r="G288" s="7" t="s">
        <v>180</v>
      </c>
      <c r="H288" s="7" t="s">
        <v>65</v>
      </c>
      <c r="I288" s="10">
        <v>139.89599999999999</v>
      </c>
      <c r="J288" s="7" t="s">
        <v>215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3">
        <v>0.14000000000000001</v>
      </c>
      <c r="U288" s="13">
        <v>3.3000000000000002E-2</v>
      </c>
      <c r="V288" s="15">
        <v>0.16839999999999999</v>
      </c>
    </row>
    <row r="289" spans="1:22" ht="14.25" customHeight="1" x14ac:dyDescent="0.35">
      <c r="A289" s="6" t="s">
        <v>40</v>
      </c>
      <c r="B289" s="7" t="s">
        <v>41</v>
      </c>
      <c r="C289" s="7" t="s">
        <v>257</v>
      </c>
      <c r="D289" s="7" t="s">
        <v>258</v>
      </c>
      <c r="E289" s="7" t="s">
        <v>299</v>
      </c>
      <c r="F289" s="7" t="s">
        <v>300</v>
      </c>
      <c r="G289" s="7" t="s">
        <v>180</v>
      </c>
      <c r="H289" s="7" t="s">
        <v>65</v>
      </c>
      <c r="I289" s="10">
        <v>163.82300000000001</v>
      </c>
      <c r="J289" s="7" t="s">
        <v>215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3">
        <v>0.14000000000000001</v>
      </c>
      <c r="U289" s="13">
        <v>3.3000000000000002E-2</v>
      </c>
      <c r="V289" s="15">
        <v>0.16839999999999999</v>
      </c>
    </row>
    <row r="290" spans="1:22" ht="14.25" customHeight="1" x14ac:dyDescent="0.35">
      <c r="A290" s="6" t="s">
        <v>217</v>
      </c>
      <c r="B290" s="7" t="s">
        <v>218</v>
      </c>
      <c r="C290" s="7" t="s">
        <v>257</v>
      </c>
      <c r="D290" s="7" t="s">
        <v>258</v>
      </c>
      <c r="E290" s="7" t="s">
        <v>299</v>
      </c>
      <c r="F290" s="7" t="s">
        <v>300</v>
      </c>
      <c r="G290" s="7" t="s">
        <v>86</v>
      </c>
      <c r="H290" s="7" t="s">
        <v>65</v>
      </c>
      <c r="I290" s="10">
        <v>70.111999999999995</v>
      </c>
      <c r="J290" s="7" t="s">
        <v>215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3">
        <v>0.14000000000000001</v>
      </c>
      <c r="U290" s="13">
        <v>3.3000000000000002E-2</v>
      </c>
      <c r="V290" s="15">
        <v>0.16839999999999999</v>
      </c>
    </row>
    <row r="291" spans="1:22" ht="14.25" customHeight="1" x14ac:dyDescent="0.35">
      <c r="A291" s="6" t="s">
        <v>217</v>
      </c>
      <c r="B291" s="7" t="s">
        <v>218</v>
      </c>
      <c r="C291" s="7" t="s">
        <v>257</v>
      </c>
      <c r="D291" s="7" t="s">
        <v>258</v>
      </c>
      <c r="E291" s="7" t="s">
        <v>276</v>
      </c>
      <c r="F291" s="7" t="s">
        <v>301</v>
      </c>
      <c r="G291" s="7" t="s">
        <v>86</v>
      </c>
      <c r="H291" s="7" t="s">
        <v>65</v>
      </c>
      <c r="I291" s="10">
        <v>1103.252</v>
      </c>
      <c r="J291" s="7" t="s">
        <v>265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3">
        <v>0</v>
      </c>
      <c r="U291" s="13">
        <v>0</v>
      </c>
      <c r="V291" s="15">
        <v>0</v>
      </c>
    </row>
    <row r="292" spans="1:22" ht="14.25" customHeight="1" x14ac:dyDescent="0.35">
      <c r="A292" s="6" t="s">
        <v>49</v>
      </c>
      <c r="B292" s="7" t="s">
        <v>50</v>
      </c>
      <c r="C292" s="7" t="s">
        <v>257</v>
      </c>
      <c r="D292" s="7" t="s">
        <v>258</v>
      </c>
      <c r="E292" s="7" t="s">
        <v>276</v>
      </c>
      <c r="F292" s="7" t="s">
        <v>301</v>
      </c>
      <c r="G292" s="7" t="s">
        <v>86</v>
      </c>
      <c r="H292" s="7" t="s">
        <v>65</v>
      </c>
      <c r="I292" s="10">
        <v>2229</v>
      </c>
      <c r="J292" s="7" t="s">
        <v>265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3">
        <v>0</v>
      </c>
      <c r="U292" s="13">
        <v>0</v>
      </c>
      <c r="V292" s="15">
        <v>0</v>
      </c>
    </row>
    <row r="293" spans="1:22" ht="14.25" customHeight="1" x14ac:dyDescent="0.35">
      <c r="A293" s="6" t="s">
        <v>40</v>
      </c>
      <c r="B293" s="7" t="s">
        <v>41</v>
      </c>
      <c r="C293" s="7" t="s">
        <v>257</v>
      </c>
      <c r="D293" s="7" t="s">
        <v>258</v>
      </c>
      <c r="E293" s="7" t="s">
        <v>276</v>
      </c>
      <c r="F293" s="7" t="s">
        <v>301</v>
      </c>
      <c r="G293" s="7" t="s">
        <v>86</v>
      </c>
      <c r="H293" s="7" t="s">
        <v>65</v>
      </c>
      <c r="I293" s="10">
        <v>2972</v>
      </c>
      <c r="J293" s="7" t="s">
        <v>265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3">
        <v>0</v>
      </c>
      <c r="U293" s="13">
        <v>0</v>
      </c>
      <c r="V293" s="15">
        <v>0</v>
      </c>
    </row>
    <row r="294" spans="1:22" ht="14.25" customHeight="1" x14ac:dyDescent="0.35">
      <c r="A294" s="6" t="s">
        <v>209</v>
      </c>
      <c r="B294" s="7" t="s">
        <v>210</v>
      </c>
      <c r="C294" s="7" t="s">
        <v>257</v>
      </c>
      <c r="D294" s="7" t="s">
        <v>258</v>
      </c>
      <c r="E294" s="7" t="s">
        <v>276</v>
      </c>
      <c r="F294" s="7" t="s">
        <v>301</v>
      </c>
      <c r="G294" s="7" t="s">
        <v>102</v>
      </c>
      <c r="H294" s="7" t="s">
        <v>65</v>
      </c>
      <c r="I294" s="10">
        <v>911.75800000000004</v>
      </c>
      <c r="J294" s="7" t="s">
        <v>265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3">
        <v>0</v>
      </c>
      <c r="U294" s="13">
        <v>0</v>
      </c>
      <c r="V294" s="15">
        <v>0</v>
      </c>
    </row>
    <row r="295" spans="1:22" ht="14.25" customHeight="1" x14ac:dyDescent="0.35">
      <c r="A295" s="6" t="s">
        <v>47</v>
      </c>
      <c r="B295" s="7" t="s">
        <v>48</v>
      </c>
      <c r="C295" s="7" t="s">
        <v>257</v>
      </c>
      <c r="D295" s="7" t="s">
        <v>258</v>
      </c>
      <c r="E295" s="7" t="s">
        <v>276</v>
      </c>
      <c r="F295" s="7" t="s">
        <v>301</v>
      </c>
      <c r="G295" s="7" t="s">
        <v>86</v>
      </c>
      <c r="H295" s="7" t="s">
        <v>65</v>
      </c>
      <c r="I295" s="10">
        <v>2382.0149999999999</v>
      </c>
      <c r="J295" s="7" t="s">
        <v>265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3">
        <v>0</v>
      </c>
      <c r="U295" s="13">
        <v>0</v>
      </c>
      <c r="V295" s="15">
        <v>0</v>
      </c>
    </row>
    <row r="296" spans="1:22" ht="14.25" customHeight="1" x14ac:dyDescent="0.35">
      <c r="A296" s="6" t="s">
        <v>47</v>
      </c>
      <c r="B296" s="7" t="s">
        <v>48</v>
      </c>
      <c r="C296" s="7" t="s">
        <v>257</v>
      </c>
      <c r="D296" s="7" t="s">
        <v>258</v>
      </c>
      <c r="E296" s="7" t="s">
        <v>302</v>
      </c>
      <c r="F296" s="7" t="s">
        <v>303</v>
      </c>
      <c r="G296" s="7" t="s">
        <v>180</v>
      </c>
      <c r="H296" s="7" t="s">
        <v>65</v>
      </c>
      <c r="I296" s="10">
        <v>133.75800000000001</v>
      </c>
      <c r="J296" s="7" t="s">
        <v>215</v>
      </c>
      <c r="K296" s="11">
        <v>0</v>
      </c>
      <c r="L296" s="11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3">
        <v>0.14000000000000001</v>
      </c>
      <c r="U296" s="13">
        <v>3.3000000000000002E-2</v>
      </c>
      <c r="V296" s="15">
        <v>0.16839999999999999</v>
      </c>
    </row>
    <row r="297" spans="1:22" ht="14.25" customHeight="1" x14ac:dyDescent="0.35">
      <c r="A297" s="6" t="s">
        <v>209</v>
      </c>
      <c r="B297" s="7" t="s">
        <v>210</v>
      </c>
      <c r="C297" s="7" t="s">
        <v>257</v>
      </c>
      <c r="D297" s="7" t="s">
        <v>258</v>
      </c>
      <c r="E297" s="7" t="s">
        <v>302</v>
      </c>
      <c r="F297" s="7" t="s">
        <v>303</v>
      </c>
      <c r="G297" s="7" t="s">
        <v>102</v>
      </c>
      <c r="H297" s="7" t="s">
        <v>65</v>
      </c>
      <c r="I297" s="10">
        <v>2.82</v>
      </c>
      <c r="J297" s="7" t="s">
        <v>215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3">
        <v>0.14000000000000001</v>
      </c>
      <c r="U297" s="13">
        <v>3.3000000000000002E-2</v>
      </c>
      <c r="V297" s="15">
        <v>0.16839999999999999</v>
      </c>
    </row>
    <row r="298" spans="1:22" ht="14.25" customHeight="1" x14ac:dyDescent="0.35">
      <c r="A298" s="6" t="s">
        <v>49</v>
      </c>
      <c r="B298" s="7" t="s">
        <v>50</v>
      </c>
      <c r="C298" s="7" t="s">
        <v>257</v>
      </c>
      <c r="D298" s="7" t="s">
        <v>258</v>
      </c>
      <c r="E298" s="7" t="s">
        <v>302</v>
      </c>
      <c r="F298" s="7" t="s">
        <v>303</v>
      </c>
      <c r="G298" s="7" t="s">
        <v>180</v>
      </c>
      <c r="H298" s="7" t="s">
        <v>65</v>
      </c>
      <c r="I298" s="10">
        <v>95.097999999999999</v>
      </c>
      <c r="J298" s="7" t="s">
        <v>215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3">
        <v>0.14000000000000001</v>
      </c>
      <c r="U298" s="13">
        <v>3.3000000000000002E-2</v>
      </c>
      <c r="V298" s="15">
        <v>0.16839999999999999</v>
      </c>
    </row>
    <row r="299" spans="1:22" ht="14.25" customHeight="1" x14ac:dyDescent="0.35">
      <c r="A299" s="6" t="s">
        <v>217</v>
      </c>
      <c r="B299" s="7" t="s">
        <v>218</v>
      </c>
      <c r="C299" s="7" t="s">
        <v>257</v>
      </c>
      <c r="D299" s="7" t="s">
        <v>258</v>
      </c>
      <c r="E299" s="7" t="s">
        <v>302</v>
      </c>
      <c r="F299" s="7" t="s">
        <v>303</v>
      </c>
      <c r="G299" s="7" t="s">
        <v>86</v>
      </c>
      <c r="H299" s="7" t="s">
        <v>65</v>
      </c>
      <c r="I299" s="10">
        <v>42.281999999999996</v>
      </c>
      <c r="J299" s="7" t="s">
        <v>215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3">
        <v>0.14000000000000001</v>
      </c>
      <c r="U299" s="13">
        <v>3.3000000000000002E-2</v>
      </c>
      <c r="V299" s="15">
        <v>0.16839999999999999</v>
      </c>
    </row>
    <row r="300" spans="1:22" ht="14.25" customHeight="1" x14ac:dyDescent="0.35">
      <c r="A300" s="6" t="s">
        <v>40</v>
      </c>
      <c r="B300" s="7" t="s">
        <v>41</v>
      </c>
      <c r="C300" s="7" t="s">
        <v>257</v>
      </c>
      <c r="D300" s="7" t="s">
        <v>258</v>
      </c>
      <c r="E300" s="7" t="s">
        <v>302</v>
      </c>
      <c r="F300" s="7" t="s">
        <v>303</v>
      </c>
      <c r="G300" s="7" t="s">
        <v>180</v>
      </c>
      <c r="H300" s="7" t="s">
        <v>65</v>
      </c>
      <c r="I300" s="10">
        <v>142.86000000000001</v>
      </c>
      <c r="J300" s="7" t="s">
        <v>215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3">
        <v>0.14000000000000001</v>
      </c>
      <c r="U300" s="13">
        <v>3.3000000000000002E-2</v>
      </c>
      <c r="V300" s="15">
        <v>0.16839999999999999</v>
      </c>
    </row>
    <row r="301" spans="1:22" ht="14.25" customHeight="1" x14ac:dyDescent="0.35">
      <c r="A301" s="6" t="s">
        <v>49</v>
      </c>
      <c r="B301" s="7" t="s">
        <v>50</v>
      </c>
      <c r="C301" s="7" t="s">
        <v>257</v>
      </c>
      <c r="D301" s="7" t="s">
        <v>258</v>
      </c>
      <c r="E301" s="7" t="s">
        <v>304</v>
      </c>
      <c r="F301" s="7" t="s">
        <v>305</v>
      </c>
      <c r="G301" s="7" t="s">
        <v>86</v>
      </c>
      <c r="H301" s="7" t="s">
        <v>159</v>
      </c>
      <c r="I301" s="10">
        <v>0</v>
      </c>
      <c r="J301" s="7" t="s">
        <v>265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3">
        <v>0</v>
      </c>
      <c r="U301" s="13">
        <v>0</v>
      </c>
      <c r="V301" s="15">
        <v>0</v>
      </c>
    </row>
    <row r="302" spans="1:22" ht="14.25" customHeight="1" x14ac:dyDescent="0.35">
      <c r="A302" s="6" t="s">
        <v>47</v>
      </c>
      <c r="B302" s="7" t="s">
        <v>48</v>
      </c>
      <c r="C302" s="7" t="s">
        <v>257</v>
      </c>
      <c r="D302" s="7" t="s">
        <v>258</v>
      </c>
      <c r="E302" s="7" t="s">
        <v>304</v>
      </c>
      <c r="F302" s="7" t="s">
        <v>305</v>
      </c>
      <c r="G302" s="7" t="s">
        <v>86</v>
      </c>
      <c r="H302" s="7" t="s">
        <v>159</v>
      </c>
      <c r="I302" s="10">
        <v>0</v>
      </c>
      <c r="J302" s="7" t="s">
        <v>265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3">
        <v>0</v>
      </c>
      <c r="U302" s="13">
        <v>0</v>
      </c>
      <c r="V302" s="15">
        <v>0</v>
      </c>
    </row>
    <row r="303" spans="1:22" ht="14.25" customHeight="1" x14ac:dyDescent="0.35">
      <c r="A303" s="6" t="s">
        <v>40</v>
      </c>
      <c r="B303" s="7" t="s">
        <v>41</v>
      </c>
      <c r="C303" s="7" t="s">
        <v>257</v>
      </c>
      <c r="D303" s="7" t="s">
        <v>258</v>
      </c>
      <c r="E303" s="7" t="s">
        <v>304</v>
      </c>
      <c r="F303" s="7" t="s">
        <v>305</v>
      </c>
      <c r="G303" s="7" t="s">
        <v>86</v>
      </c>
      <c r="H303" s="7" t="s">
        <v>159</v>
      </c>
      <c r="I303" s="10">
        <v>0</v>
      </c>
      <c r="J303" s="7" t="s">
        <v>265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3">
        <v>0</v>
      </c>
      <c r="U303" s="13">
        <v>0</v>
      </c>
      <c r="V303" s="15">
        <v>0</v>
      </c>
    </row>
    <row r="304" spans="1:22" ht="14.25" customHeight="1" x14ac:dyDescent="0.35">
      <c r="A304" s="6" t="s">
        <v>217</v>
      </c>
      <c r="B304" s="7" t="s">
        <v>218</v>
      </c>
      <c r="C304" s="7" t="s">
        <v>257</v>
      </c>
      <c r="D304" s="7" t="s">
        <v>258</v>
      </c>
      <c r="E304" s="7" t="s">
        <v>304</v>
      </c>
      <c r="F304" s="7" t="s">
        <v>305</v>
      </c>
      <c r="G304" s="7" t="s">
        <v>86</v>
      </c>
      <c r="H304" s="7" t="s">
        <v>159</v>
      </c>
      <c r="I304" s="10">
        <v>0</v>
      </c>
      <c r="J304" s="7" t="s">
        <v>265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3">
        <v>0</v>
      </c>
      <c r="U304" s="13">
        <v>0</v>
      </c>
      <c r="V304" s="15">
        <v>0</v>
      </c>
    </row>
    <row r="305" spans="1:22" ht="14.25" customHeight="1" x14ac:dyDescent="0.35">
      <c r="A305" s="6" t="s">
        <v>209</v>
      </c>
      <c r="B305" s="7" t="s">
        <v>210</v>
      </c>
      <c r="C305" s="7" t="s">
        <v>257</v>
      </c>
      <c r="D305" s="7" t="s">
        <v>258</v>
      </c>
      <c r="E305" s="7" t="s">
        <v>304</v>
      </c>
      <c r="F305" s="7" t="s">
        <v>305</v>
      </c>
      <c r="G305" s="7" t="s">
        <v>102</v>
      </c>
      <c r="H305" s="7" t="s">
        <v>159</v>
      </c>
      <c r="I305" s="10">
        <v>0</v>
      </c>
      <c r="J305" s="7" t="s">
        <v>265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3">
        <v>0</v>
      </c>
      <c r="U305" s="13">
        <v>0</v>
      </c>
      <c r="V305" s="15">
        <v>0</v>
      </c>
    </row>
    <row r="306" spans="1:22" ht="14.25" customHeight="1" x14ac:dyDescent="0.35">
      <c r="A306" s="6" t="s">
        <v>209</v>
      </c>
      <c r="B306" s="7" t="s">
        <v>210</v>
      </c>
      <c r="C306" s="7" t="s">
        <v>257</v>
      </c>
      <c r="D306" s="7" t="s">
        <v>258</v>
      </c>
      <c r="E306" s="7" t="s">
        <v>284</v>
      </c>
      <c r="F306" s="7" t="s">
        <v>306</v>
      </c>
      <c r="G306" s="7" t="s">
        <v>102</v>
      </c>
      <c r="H306" s="7" t="s">
        <v>77</v>
      </c>
      <c r="I306" s="10">
        <v>213.114</v>
      </c>
      <c r="J306" s="7" t="s">
        <v>265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3">
        <v>0</v>
      </c>
      <c r="U306" s="13">
        <v>0</v>
      </c>
      <c r="V306" s="15">
        <v>0</v>
      </c>
    </row>
    <row r="307" spans="1:22" ht="14.25" customHeight="1" x14ac:dyDescent="0.35">
      <c r="A307" s="6" t="s">
        <v>49</v>
      </c>
      <c r="B307" s="7" t="s">
        <v>50</v>
      </c>
      <c r="C307" s="7" t="s">
        <v>257</v>
      </c>
      <c r="D307" s="7" t="s">
        <v>258</v>
      </c>
      <c r="E307" s="7" t="s">
        <v>284</v>
      </c>
      <c r="F307" s="7" t="s">
        <v>306</v>
      </c>
      <c r="G307" s="7" t="s">
        <v>86</v>
      </c>
      <c r="H307" s="7" t="s">
        <v>65</v>
      </c>
      <c r="I307" s="10">
        <v>4458</v>
      </c>
      <c r="J307" s="7" t="s">
        <v>265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3">
        <v>0</v>
      </c>
      <c r="U307" s="13">
        <v>0</v>
      </c>
      <c r="V307" s="15">
        <v>0</v>
      </c>
    </row>
    <row r="308" spans="1:22" ht="14.25" customHeight="1" x14ac:dyDescent="0.35">
      <c r="A308" s="6" t="s">
        <v>47</v>
      </c>
      <c r="B308" s="7" t="s">
        <v>48</v>
      </c>
      <c r="C308" s="7" t="s">
        <v>257</v>
      </c>
      <c r="D308" s="7" t="s">
        <v>258</v>
      </c>
      <c r="E308" s="7" t="s">
        <v>284</v>
      </c>
      <c r="F308" s="7" t="s">
        <v>306</v>
      </c>
      <c r="G308" s="7" t="s">
        <v>86</v>
      </c>
      <c r="H308" s="7" t="s">
        <v>65</v>
      </c>
      <c r="I308" s="10">
        <v>4764.0309999999999</v>
      </c>
      <c r="J308" s="7" t="s">
        <v>265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3">
        <v>0</v>
      </c>
      <c r="U308" s="13">
        <v>0</v>
      </c>
      <c r="V308" s="15">
        <v>0</v>
      </c>
    </row>
    <row r="309" spans="1:22" ht="14.25" customHeight="1" x14ac:dyDescent="0.35">
      <c r="A309" s="6" t="s">
        <v>217</v>
      </c>
      <c r="B309" s="7" t="s">
        <v>218</v>
      </c>
      <c r="C309" s="7" t="s">
        <v>257</v>
      </c>
      <c r="D309" s="7" t="s">
        <v>258</v>
      </c>
      <c r="E309" s="7" t="s">
        <v>284</v>
      </c>
      <c r="F309" s="7" t="s">
        <v>306</v>
      </c>
      <c r="G309" s="7" t="s">
        <v>86</v>
      </c>
      <c r="H309" s="7" t="s">
        <v>77</v>
      </c>
      <c r="I309" s="10">
        <v>830.976</v>
      </c>
      <c r="J309" s="7" t="s">
        <v>265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3">
        <v>0</v>
      </c>
      <c r="U309" s="13">
        <v>0</v>
      </c>
      <c r="V309" s="15">
        <v>0</v>
      </c>
    </row>
    <row r="310" spans="1:22" ht="14.25" customHeight="1" x14ac:dyDescent="0.35">
      <c r="A310" s="6" t="s">
        <v>40</v>
      </c>
      <c r="B310" s="7" t="s">
        <v>41</v>
      </c>
      <c r="C310" s="7" t="s">
        <v>257</v>
      </c>
      <c r="D310" s="7" t="s">
        <v>258</v>
      </c>
      <c r="E310" s="7" t="s">
        <v>284</v>
      </c>
      <c r="F310" s="7" t="s">
        <v>306</v>
      </c>
      <c r="G310" s="7" t="s">
        <v>86</v>
      </c>
      <c r="H310" s="7" t="s">
        <v>65</v>
      </c>
      <c r="I310" s="10">
        <v>5944</v>
      </c>
      <c r="J310" s="7" t="s">
        <v>265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3">
        <v>0</v>
      </c>
      <c r="U310" s="13">
        <v>0</v>
      </c>
      <c r="V310" s="15">
        <v>0</v>
      </c>
    </row>
    <row r="311" spans="1:22" ht="14.25" customHeight="1" x14ac:dyDescent="0.35">
      <c r="A311" s="6" t="s">
        <v>47</v>
      </c>
      <c r="B311" s="7" t="s">
        <v>48</v>
      </c>
      <c r="C311" s="7" t="s">
        <v>257</v>
      </c>
      <c r="D311" s="7" t="s">
        <v>258</v>
      </c>
      <c r="E311" s="7" t="s">
        <v>307</v>
      </c>
      <c r="F311" s="7" t="s">
        <v>308</v>
      </c>
      <c r="G311" s="7" t="s">
        <v>240</v>
      </c>
      <c r="H311" s="7" t="s">
        <v>65</v>
      </c>
      <c r="I311" s="10">
        <v>137.84299999999999</v>
      </c>
      <c r="J311" s="7" t="s">
        <v>215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1.185095</v>
      </c>
      <c r="S311" s="11">
        <v>1.1459870000000001</v>
      </c>
      <c r="T311" s="13">
        <v>0.14000000000000001</v>
      </c>
      <c r="U311" s="13">
        <v>3.3000000000000002E-2</v>
      </c>
      <c r="V311" s="15">
        <v>0.16839999999999999</v>
      </c>
    </row>
    <row r="312" spans="1:22" ht="14.25" customHeight="1" x14ac:dyDescent="0.35">
      <c r="A312" s="6" t="s">
        <v>209</v>
      </c>
      <c r="B312" s="7" t="s">
        <v>210</v>
      </c>
      <c r="C312" s="7" t="s">
        <v>257</v>
      </c>
      <c r="D312" s="7" t="s">
        <v>258</v>
      </c>
      <c r="E312" s="7" t="s">
        <v>307</v>
      </c>
      <c r="F312" s="7" t="s">
        <v>308</v>
      </c>
      <c r="G312" s="7" t="s">
        <v>102</v>
      </c>
      <c r="H312" s="7" t="s">
        <v>65</v>
      </c>
      <c r="I312" s="10">
        <v>3.48</v>
      </c>
      <c r="J312" s="7" t="s">
        <v>215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2.9725999999999999E-2</v>
      </c>
      <c r="S312" s="11">
        <v>2.8745E-2</v>
      </c>
      <c r="T312" s="13">
        <v>0.14000000000000001</v>
      </c>
      <c r="U312" s="13">
        <v>3.3000000000000002E-2</v>
      </c>
      <c r="V312" s="15">
        <v>0.16839999999999999</v>
      </c>
    </row>
    <row r="313" spans="1:22" ht="14.25" customHeight="1" x14ac:dyDescent="0.35">
      <c r="A313" s="6" t="s">
        <v>49</v>
      </c>
      <c r="B313" s="7" t="s">
        <v>50</v>
      </c>
      <c r="C313" s="7" t="s">
        <v>257</v>
      </c>
      <c r="D313" s="7" t="s">
        <v>258</v>
      </c>
      <c r="E313" s="7" t="s">
        <v>307</v>
      </c>
      <c r="F313" s="7" t="s">
        <v>308</v>
      </c>
      <c r="G313" s="7" t="s">
        <v>229</v>
      </c>
      <c r="H313" s="7" t="s">
        <v>65</v>
      </c>
      <c r="I313" s="10">
        <v>95.099000000000004</v>
      </c>
      <c r="J313" s="7" t="s">
        <v>215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0.81746700000000005</v>
      </c>
      <c r="S313" s="11">
        <v>0.79049100000000005</v>
      </c>
      <c r="T313" s="13">
        <v>0.14000000000000001</v>
      </c>
      <c r="U313" s="13">
        <v>3.3000000000000002E-2</v>
      </c>
      <c r="V313" s="15">
        <v>0.16839999999999999</v>
      </c>
    </row>
    <row r="314" spans="1:22" ht="14.25" customHeight="1" x14ac:dyDescent="0.35">
      <c r="A314" s="6" t="s">
        <v>217</v>
      </c>
      <c r="B314" s="7" t="s">
        <v>218</v>
      </c>
      <c r="C314" s="7" t="s">
        <v>257</v>
      </c>
      <c r="D314" s="7" t="s">
        <v>258</v>
      </c>
      <c r="E314" s="7" t="s">
        <v>307</v>
      </c>
      <c r="F314" s="7" t="s">
        <v>308</v>
      </c>
      <c r="G314" s="7" t="s">
        <v>229</v>
      </c>
      <c r="H314" s="7" t="s">
        <v>65</v>
      </c>
      <c r="I314" s="10">
        <v>50.646000000000001</v>
      </c>
      <c r="J314" s="7" t="s">
        <v>215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0.43533300000000003</v>
      </c>
      <c r="S314" s="11">
        <v>0.42096699999999998</v>
      </c>
      <c r="T314" s="13">
        <v>0.14000000000000001</v>
      </c>
      <c r="U314" s="13">
        <v>3.3000000000000002E-2</v>
      </c>
      <c r="V314" s="15">
        <v>0.16839999999999999</v>
      </c>
    </row>
    <row r="315" spans="1:22" ht="14.25" customHeight="1" x14ac:dyDescent="0.35">
      <c r="A315" s="6" t="s">
        <v>40</v>
      </c>
      <c r="B315" s="7" t="s">
        <v>41</v>
      </c>
      <c r="C315" s="7" t="s">
        <v>257</v>
      </c>
      <c r="D315" s="7" t="s">
        <v>258</v>
      </c>
      <c r="E315" s="7" t="s">
        <v>307</v>
      </c>
      <c r="F315" s="7" t="s">
        <v>308</v>
      </c>
      <c r="G315" s="7" t="s">
        <v>180</v>
      </c>
      <c r="H315" s="7" t="s">
        <v>65</v>
      </c>
      <c r="I315" s="10">
        <v>145.80799999999999</v>
      </c>
      <c r="J315" s="7" t="s">
        <v>215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1.2534810000000001</v>
      </c>
      <c r="S315" s="11">
        <v>1.212116</v>
      </c>
      <c r="T315" s="13">
        <v>0.14000000000000001</v>
      </c>
      <c r="U315" s="13">
        <v>3.3000000000000002E-2</v>
      </c>
      <c r="V315" s="15">
        <v>0.16839999999999999</v>
      </c>
    </row>
    <row r="316" spans="1:22" ht="14.25" customHeight="1" x14ac:dyDescent="0.35">
      <c r="A316" s="6" t="s">
        <v>40</v>
      </c>
      <c r="B316" s="7" t="s">
        <v>41</v>
      </c>
      <c r="C316" s="7" t="s">
        <v>257</v>
      </c>
      <c r="D316" s="7" t="s">
        <v>258</v>
      </c>
      <c r="E316" s="7" t="s">
        <v>309</v>
      </c>
      <c r="F316" s="7" t="s">
        <v>310</v>
      </c>
      <c r="G316" s="7" t="s">
        <v>86</v>
      </c>
      <c r="H316" s="7" t="s">
        <v>65</v>
      </c>
      <c r="I316" s="10">
        <v>2972</v>
      </c>
      <c r="J316" s="7" t="s">
        <v>265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3">
        <v>0</v>
      </c>
      <c r="U316" s="13">
        <v>0</v>
      </c>
      <c r="V316" s="15">
        <v>0</v>
      </c>
    </row>
    <row r="317" spans="1:22" ht="14.25" customHeight="1" x14ac:dyDescent="0.35">
      <c r="A317" s="6" t="s">
        <v>217</v>
      </c>
      <c r="B317" s="7" t="s">
        <v>218</v>
      </c>
      <c r="C317" s="7" t="s">
        <v>257</v>
      </c>
      <c r="D317" s="7" t="s">
        <v>258</v>
      </c>
      <c r="E317" s="7" t="s">
        <v>309</v>
      </c>
      <c r="F317" s="7" t="s">
        <v>310</v>
      </c>
      <c r="G317" s="7" t="s">
        <v>86</v>
      </c>
      <c r="H317" s="7" t="s">
        <v>65</v>
      </c>
      <c r="I317" s="10">
        <v>1103.252</v>
      </c>
      <c r="J317" s="7" t="s">
        <v>265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3">
        <v>0</v>
      </c>
      <c r="U317" s="13">
        <v>0</v>
      </c>
      <c r="V317" s="15">
        <v>0</v>
      </c>
    </row>
    <row r="318" spans="1:22" ht="14.25" customHeight="1" x14ac:dyDescent="0.35">
      <c r="A318" s="6" t="s">
        <v>209</v>
      </c>
      <c r="B318" s="7" t="s">
        <v>210</v>
      </c>
      <c r="C318" s="7" t="s">
        <v>257</v>
      </c>
      <c r="D318" s="7" t="s">
        <v>258</v>
      </c>
      <c r="E318" s="7" t="s">
        <v>309</v>
      </c>
      <c r="F318" s="7" t="s">
        <v>310</v>
      </c>
      <c r="G318" s="7" t="s">
        <v>102</v>
      </c>
      <c r="H318" s="7" t="s">
        <v>65</v>
      </c>
      <c r="I318" s="10">
        <v>911.75800000000004</v>
      </c>
      <c r="J318" s="7" t="s">
        <v>265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3">
        <v>0</v>
      </c>
      <c r="U318" s="13">
        <v>0</v>
      </c>
      <c r="V318" s="15">
        <v>0</v>
      </c>
    </row>
    <row r="319" spans="1:22" ht="14.25" customHeight="1" x14ac:dyDescent="0.35">
      <c r="A319" s="6" t="s">
        <v>49</v>
      </c>
      <c r="B319" s="7" t="s">
        <v>50</v>
      </c>
      <c r="C319" s="7" t="s">
        <v>257</v>
      </c>
      <c r="D319" s="7" t="s">
        <v>258</v>
      </c>
      <c r="E319" s="7" t="s">
        <v>309</v>
      </c>
      <c r="F319" s="7" t="s">
        <v>310</v>
      </c>
      <c r="G319" s="7" t="s">
        <v>86</v>
      </c>
      <c r="H319" s="7" t="s">
        <v>65</v>
      </c>
      <c r="I319" s="10">
        <v>2229</v>
      </c>
      <c r="J319" s="7" t="s">
        <v>265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3">
        <v>0</v>
      </c>
      <c r="U319" s="13">
        <v>0</v>
      </c>
      <c r="V319" s="15">
        <v>0</v>
      </c>
    </row>
    <row r="320" spans="1:22" ht="14.25" customHeight="1" x14ac:dyDescent="0.35">
      <c r="A320" s="6" t="s">
        <v>47</v>
      </c>
      <c r="B320" s="7" t="s">
        <v>48</v>
      </c>
      <c r="C320" s="7" t="s">
        <v>257</v>
      </c>
      <c r="D320" s="7" t="s">
        <v>258</v>
      </c>
      <c r="E320" s="7" t="s">
        <v>309</v>
      </c>
      <c r="F320" s="7" t="s">
        <v>310</v>
      </c>
      <c r="G320" s="7" t="s">
        <v>86</v>
      </c>
      <c r="H320" s="7" t="s">
        <v>65</v>
      </c>
      <c r="I320" s="10">
        <v>2382.0149999999999</v>
      </c>
      <c r="J320" s="7" t="s">
        <v>265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3">
        <v>0</v>
      </c>
      <c r="U320" s="13">
        <v>0</v>
      </c>
      <c r="V320" s="15">
        <v>0</v>
      </c>
    </row>
    <row r="321" spans="1:22" ht="14.25" customHeight="1" x14ac:dyDescent="0.35">
      <c r="A321" s="6" t="s">
        <v>49</v>
      </c>
      <c r="B321" s="7" t="s">
        <v>50</v>
      </c>
      <c r="C321" s="7" t="s">
        <v>257</v>
      </c>
      <c r="D321" s="7" t="s">
        <v>258</v>
      </c>
      <c r="E321" s="7" t="s">
        <v>311</v>
      </c>
      <c r="F321" s="7" t="s">
        <v>312</v>
      </c>
      <c r="G321" s="7" t="s">
        <v>64</v>
      </c>
      <c r="H321" s="7" t="s">
        <v>65</v>
      </c>
      <c r="I321" s="10">
        <v>4458</v>
      </c>
      <c r="J321" s="7" t="s">
        <v>265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107.888975</v>
      </c>
      <c r="S321" s="11">
        <v>104.328639</v>
      </c>
      <c r="T321" s="13">
        <v>0.24</v>
      </c>
      <c r="U321" s="13">
        <v>3.3000000000000002E-2</v>
      </c>
      <c r="V321" s="15">
        <v>0.2651</v>
      </c>
    </row>
    <row r="322" spans="1:22" ht="14.25" customHeight="1" x14ac:dyDescent="0.35">
      <c r="A322" s="6" t="s">
        <v>209</v>
      </c>
      <c r="B322" s="7" t="s">
        <v>210</v>
      </c>
      <c r="C322" s="7" t="s">
        <v>257</v>
      </c>
      <c r="D322" s="7" t="s">
        <v>258</v>
      </c>
      <c r="E322" s="7" t="s">
        <v>313</v>
      </c>
      <c r="F322" s="7" t="s">
        <v>314</v>
      </c>
      <c r="G322" s="7" t="s">
        <v>103</v>
      </c>
      <c r="H322" s="7" t="s">
        <v>65</v>
      </c>
      <c r="I322" s="10">
        <v>0</v>
      </c>
      <c r="J322" s="7" t="s">
        <v>265</v>
      </c>
      <c r="K322" s="11">
        <v>0</v>
      </c>
      <c r="L322" s="11">
        <v>-3.486011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-3.486011</v>
      </c>
      <c r="S322" s="11">
        <v>-3.3709730000000002</v>
      </c>
      <c r="T322" s="13">
        <v>0.14000000000000001</v>
      </c>
      <c r="U322" s="13">
        <v>3.3000000000000002E-2</v>
      </c>
      <c r="V322" s="15">
        <v>0.16839999999999999</v>
      </c>
    </row>
    <row r="323" spans="1:22" ht="14.25" customHeight="1" x14ac:dyDescent="0.35">
      <c r="A323" s="6" t="s">
        <v>217</v>
      </c>
      <c r="B323" s="7" t="s">
        <v>218</v>
      </c>
      <c r="C323" s="7" t="s">
        <v>257</v>
      </c>
      <c r="D323" s="7" t="s">
        <v>258</v>
      </c>
      <c r="E323" s="7" t="s">
        <v>313</v>
      </c>
      <c r="F323" s="7" t="s">
        <v>314</v>
      </c>
      <c r="G323" s="7" t="s">
        <v>86</v>
      </c>
      <c r="H323" s="7" t="s">
        <v>65</v>
      </c>
      <c r="I323" s="10">
        <v>0</v>
      </c>
      <c r="J323" s="7" t="s">
        <v>265</v>
      </c>
      <c r="K323" s="11">
        <v>0</v>
      </c>
      <c r="L323" s="11">
        <v>-4.4496130000000003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-4.4496130000000003</v>
      </c>
      <c r="S323" s="11">
        <v>-4.3027759999999997</v>
      </c>
      <c r="T323" s="13">
        <v>0.14000000000000001</v>
      </c>
      <c r="U323" s="13">
        <v>3.3000000000000002E-2</v>
      </c>
      <c r="V323" s="15">
        <v>0.16839999999999999</v>
      </c>
    </row>
    <row r="324" spans="1:22" ht="14.25" customHeight="1" x14ac:dyDescent="0.35">
      <c r="A324" s="6" t="s">
        <v>40</v>
      </c>
      <c r="B324" s="7" t="s">
        <v>41</v>
      </c>
      <c r="C324" s="7" t="s">
        <v>257</v>
      </c>
      <c r="D324" s="7" t="s">
        <v>258</v>
      </c>
      <c r="E324" s="7" t="s">
        <v>313</v>
      </c>
      <c r="F324" s="7" t="s">
        <v>314</v>
      </c>
      <c r="G324" s="7" t="s">
        <v>180</v>
      </c>
      <c r="H324" s="7" t="s">
        <v>65</v>
      </c>
      <c r="I324" s="10">
        <v>0</v>
      </c>
      <c r="J324" s="7" t="s">
        <v>265</v>
      </c>
      <c r="K324" s="11">
        <v>0</v>
      </c>
      <c r="L324" s="11">
        <v>-14.265957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-14.265957</v>
      </c>
      <c r="S324" s="11">
        <v>-13.79518</v>
      </c>
      <c r="T324" s="13">
        <v>0.14000000000000001</v>
      </c>
      <c r="U324" s="13">
        <v>3.3000000000000002E-2</v>
      </c>
      <c r="V324" s="15">
        <v>0.16839999999999999</v>
      </c>
    </row>
    <row r="325" spans="1:22" ht="14.25" customHeight="1" x14ac:dyDescent="0.35">
      <c r="A325" s="6" t="s">
        <v>47</v>
      </c>
      <c r="B325" s="7" t="s">
        <v>48</v>
      </c>
      <c r="C325" s="7" t="s">
        <v>257</v>
      </c>
      <c r="D325" s="7" t="s">
        <v>258</v>
      </c>
      <c r="E325" s="7" t="s">
        <v>313</v>
      </c>
      <c r="F325" s="7" t="s">
        <v>314</v>
      </c>
      <c r="G325" s="7" t="s">
        <v>180</v>
      </c>
      <c r="H325" s="7" t="s">
        <v>65</v>
      </c>
      <c r="I325" s="10">
        <v>0</v>
      </c>
      <c r="J325" s="7" t="s">
        <v>265</v>
      </c>
      <c r="K325" s="11">
        <v>0</v>
      </c>
      <c r="L325" s="11">
        <v>-11.424771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-11.424771</v>
      </c>
      <c r="S325" s="11">
        <v>-11.047753999999999</v>
      </c>
      <c r="T325" s="13">
        <v>0.14000000000000001</v>
      </c>
      <c r="U325" s="13">
        <v>3.3000000000000002E-2</v>
      </c>
      <c r="V325" s="15">
        <v>0.16839999999999999</v>
      </c>
    </row>
    <row r="326" spans="1:22" ht="14.25" customHeight="1" x14ac:dyDescent="0.35">
      <c r="A326" s="6" t="s">
        <v>47</v>
      </c>
      <c r="B326" s="7" t="s">
        <v>48</v>
      </c>
      <c r="C326" s="7" t="s">
        <v>257</v>
      </c>
      <c r="D326" s="7" t="s">
        <v>258</v>
      </c>
      <c r="E326" s="7" t="s">
        <v>315</v>
      </c>
      <c r="F326" s="7" t="s">
        <v>316</v>
      </c>
      <c r="G326" s="7" t="s">
        <v>86</v>
      </c>
      <c r="H326" s="7" t="s">
        <v>65</v>
      </c>
      <c r="I326" s="10">
        <v>19056.121999999999</v>
      </c>
      <c r="J326" s="7" t="s">
        <v>256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3">
        <v>0</v>
      </c>
      <c r="U326" s="13">
        <v>0</v>
      </c>
      <c r="V326" s="15">
        <v>0</v>
      </c>
    </row>
    <row r="327" spans="1:22" ht="14.25" customHeight="1" x14ac:dyDescent="0.35">
      <c r="A327" s="6" t="s">
        <v>217</v>
      </c>
      <c r="B327" s="7" t="s">
        <v>218</v>
      </c>
      <c r="C327" s="7" t="s">
        <v>257</v>
      </c>
      <c r="D327" s="7" t="s">
        <v>258</v>
      </c>
      <c r="E327" s="7" t="s">
        <v>315</v>
      </c>
      <c r="F327" s="7" t="s">
        <v>316</v>
      </c>
      <c r="G327" s="7" t="s">
        <v>86</v>
      </c>
      <c r="H327" s="7" t="s">
        <v>65</v>
      </c>
      <c r="I327" s="10">
        <v>8826.02</v>
      </c>
      <c r="J327" s="7" t="s">
        <v>256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3">
        <v>0</v>
      </c>
      <c r="U327" s="13">
        <v>0</v>
      </c>
      <c r="V327" s="15">
        <v>0</v>
      </c>
    </row>
    <row r="328" spans="1:22" ht="14.25" customHeight="1" x14ac:dyDescent="0.35">
      <c r="A328" s="6" t="s">
        <v>49</v>
      </c>
      <c r="B328" s="7" t="s">
        <v>50</v>
      </c>
      <c r="C328" s="7" t="s">
        <v>257</v>
      </c>
      <c r="D328" s="7" t="s">
        <v>258</v>
      </c>
      <c r="E328" s="7" t="s">
        <v>315</v>
      </c>
      <c r="F328" s="7" t="s">
        <v>316</v>
      </c>
      <c r="G328" s="7" t="s">
        <v>86</v>
      </c>
      <c r="H328" s="7" t="s">
        <v>65</v>
      </c>
      <c r="I328" s="10">
        <v>17832</v>
      </c>
      <c r="J328" s="7" t="s">
        <v>256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3">
        <v>0</v>
      </c>
      <c r="U328" s="13">
        <v>0</v>
      </c>
      <c r="V328" s="15">
        <v>0</v>
      </c>
    </row>
    <row r="329" spans="1:22" ht="14.25" customHeight="1" x14ac:dyDescent="0.35">
      <c r="A329" s="6" t="s">
        <v>40</v>
      </c>
      <c r="B329" s="7" t="s">
        <v>41</v>
      </c>
      <c r="C329" s="7" t="s">
        <v>257</v>
      </c>
      <c r="D329" s="7" t="s">
        <v>258</v>
      </c>
      <c r="E329" s="7" t="s">
        <v>315</v>
      </c>
      <c r="F329" s="7" t="s">
        <v>316</v>
      </c>
      <c r="G329" s="7" t="s">
        <v>86</v>
      </c>
      <c r="H329" s="7" t="s">
        <v>65</v>
      </c>
      <c r="I329" s="10">
        <v>23776</v>
      </c>
      <c r="J329" s="7" t="s">
        <v>256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3">
        <v>0</v>
      </c>
      <c r="U329" s="13">
        <v>0</v>
      </c>
      <c r="V329" s="15">
        <v>0</v>
      </c>
    </row>
    <row r="330" spans="1:22" ht="14.25" customHeight="1" x14ac:dyDescent="0.35">
      <c r="A330" s="6" t="s">
        <v>209</v>
      </c>
      <c r="B330" s="7" t="s">
        <v>210</v>
      </c>
      <c r="C330" s="7" t="s">
        <v>257</v>
      </c>
      <c r="D330" s="7" t="s">
        <v>258</v>
      </c>
      <c r="E330" s="7" t="s">
        <v>315</v>
      </c>
      <c r="F330" s="7" t="s">
        <v>316</v>
      </c>
      <c r="G330" s="7" t="s">
        <v>102</v>
      </c>
      <c r="H330" s="7" t="s">
        <v>65</v>
      </c>
      <c r="I330" s="10">
        <v>7292.982</v>
      </c>
      <c r="J330" s="7" t="s">
        <v>256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3">
        <v>0</v>
      </c>
      <c r="U330" s="13">
        <v>0</v>
      </c>
      <c r="V330" s="15">
        <v>0</v>
      </c>
    </row>
    <row r="331" spans="1:22" ht="14.25" customHeight="1" x14ac:dyDescent="0.35">
      <c r="A331" s="6" t="s">
        <v>217</v>
      </c>
      <c r="B331" s="7" t="s">
        <v>218</v>
      </c>
      <c r="C331" s="7" t="s">
        <v>257</v>
      </c>
      <c r="D331" s="7" t="s">
        <v>258</v>
      </c>
      <c r="E331" s="7" t="s">
        <v>317</v>
      </c>
      <c r="F331" s="7" t="s">
        <v>318</v>
      </c>
      <c r="G331" s="7" t="s">
        <v>64</v>
      </c>
      <c r="H331" s="7" t="s">
        <v>64</v>
      </c>
      <c r="I331" s="10">
        <v>0</v>
      </c>
      <c r="J331" s="7" t="s">
        <v>265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3">
        <v>0</v>
      </c>
      <c r="U331" s="13">
        <v>0</v>
      </c>
      <c r="V331" s="15">
        <v>0</v>
      </c>
    </row>
    <row r="332" spans="1:22" ht="14.25" customHeight="1" x14ac:dyDescent="0.35">
      <c r="A332" s="6" t="s">
        <v>49</v>
      </c>
      <c r="B332" s="7" t="s">
        <v>50</v>
      </c>
      <c r="C332" s="7" t="s">
        <v>257</v>
      </c>
      <c r="D332" s="7" t="s">
        <v>258</v>
      </c>
      <c r="E332" s="7" t="s">
        <v>317</v>
      </c>
      <c r="F332" s="7" t="s">
        <v>318</v>
      </c>
      <c r="G332" s="7" t="s">
        <v>64</v>
      </c>
      <c r="H332" s="7" t="s">
        <v>64</v>
      </c>
      <c r="I332" s="10">
        <v>0</v>
      </c>
      <c r="J332" s="7" t="s">
        <v>265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3">
        <v>0</v>
      </c>
      <c r="U332" s="13">
        <v>0</v>
      </c>
      <c r="V332" s="15">
        <v>0</v>
      </c>
    </row>
    <row r="333" spans="1:22" ht="14.25" customHeight="1" x14ac:dyDescent="0.35">
      <c r="A333" s="6" t="s">
        <v>47</v>
      </c>
      <c r="B333" s="7" t="s">
        <v>48</v>
      </c>
      <c r="C333" s="7" t="s">
        <v>257</v>
      </c>
      <c r="D333" s="7" t="s">
        <v>258</v>
      </c>
      <c r="E333" s="7" t="s">
        <v>317</v>
      </c>
      <c r="F333" s="7" t="s">
        <v>318</v>
      </c>
      <c r="G333" s="7" t="s">
        <v>64</v>
      </c>
      <c r="H333" s="7" t="s">
        <v>64</v>
      </c>
      <c r="I333" s="10">
        <v>0</v>
      </c>
      <c r="J333" s="7" t="s">
        <v>265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3">
        <v>0</v>
      </c>
      <c r="U333" s="13">
        <v>0</v>
      </c>
      <c r="V333" s="15">
        <v>0</v>
      </c>
    </row>
    <row r="334" spans="1:22" ht="14.25" customHeight="1" x14ac:dyDescent="0.35">
      <c r="A334" s="6" t="s">
        <v>40</v>
      </c>
      <c r="B334" s="7" t="s">
        <v>41</v>
      </c>
      <c r="C334" s="7" t="s">
        <v>257</v>
      </c>
      <c r="D334" s="7" t="s">
        <v>258</v>
      </c>
      <c r="E334" s="7" t="s">
        <v>317</v>
      </c>
      <c r="F334" s="7" t="s">
        <v>318</v>
      </c>
      <c r="G334" s="7" t="s">
        <v>64</v>
      </c>
      <c r="H334" s="7" t="s">
        <v>64</v>
      </c>
      <c r="I334" s="10">
        <v>0</v>
      </c>
      <c r="J334" s="7" t="s">
        <v>265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3">
        <v>0</v>
      </c>
      <c r="U334" s="13">
        <v>0</v>
      </c>
      <c r="V334" s="15">
        <v>0</v>
      </c>
    </row>
    <row r="335" spans="1:22" ht="14.25" customHeight="1" x14ac:dyDescent="0.35">
      <c r="A335" s="6" t="s">
        <v>49</v>
      </c>
      <c r="B335" s="7" t="s">
        <v>50</v>
      </c>
      <c r="C335" s="7" t="s">
        <v>257</v>
      </c>
      <c r="D335" s="7" t="s">
        <v>258</v>
      </c>
      <c r="E335" s="7" t="s">
        <v>309</v>
      </c>
      <c r="F335" s="7" t="s">
        <v>319</v>
      </c>
      <c r="G335" s="7" t="s">
        <v>86</v>
      </c>
      <c r="H335" s="7" t="s">
        <v>65</v>
      </c>
      <c r="I335" s="10">
        <v>4458</v>
      </c>
      <c r="J335" s="7" t="s">
        <v>265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3">
        <v>0</v>
      </c>
      <c r="U335" s="13">
        <v>0</v>
      </c>
      <c r="V335" s="15">
        <v>0</v>
      </c>
    </row>
    <row r="336" spans="1:22" ht="14.25" customHeight="1" x14ac:dyDescent="0.35">
      <c r="A336" s="6" t="s">
        <v>209</v>
      </c>
      <c r="B336" s="7" t="s">
        <v>210</v>
      </c>
      <c r="C336" s="7" t="s">
        <v>257</v>
      </c>
      <c r="D336" s="7" t="s">
        <v>258</v>
      </c>
      <c r="E336" s="7" t="s">
        <v>309</v>
      </c>
      <c r="F336" s="7" t="s">
        <v>319</v>
      </c>
      <c r="G336" s="7" t="s">
        <v>102</v>
      </c>
      <c r="H336" s="7" t="s">
        <v>65</v>
      </c>
      <c r="I336" s="10">
        <v>1823.2460000000001</v>
      </c>
      <c r="J336" s="7" t="s">
        <v>265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3">
        <v>0</v>
      </c>
      <c r="U336" s="13">
        <v>0</v>
      </c>
      <c r="V336" s="15">
        <v>0</v>
      </c>
    </row>
    <row r="337" spans="1:22" ht="14.25" customHeight="1" x14ac:dyDescent="0.35">
      <c r="A337" s="6" t="s">
        <v>47</v>
      </c>
      <c r="B337" s="7" t="s">
        <v>48</v>
      </c>
      <c r="C337" s="7" t="s">
        <v>257</v>
      </c>
      <c r="D337" s="7" t="s">
        <v>258</v>
      </c>
      <c r="E337" s="7" t="s">
        <v>309</v>
      </c>
      <c r="F337" s="7" t="s">
        <v>319</v>
      </c>
      <c r="G337" s="7" t="s">
        <v>86</v>
      </c>
      <c r="H337" s="7" t="s">
        <v>65</v>
      </c>
      <c r="I337" s="10">
        <v>4764.0309999999999</v>
      </c>
      <c r="J337" s="7" t="s">
        <v>265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3">
        <v>0</v>
      </c>
      <c r="U337" s="13">
        <v>0</v>
      </c>
      <c r="V337" s="15">
        <v>0</v>
      </c>
    </row>
    <row r="338" spans="1:22" ht="14.25" customHeight="1" x14ac:dyDescent="0.35">
      <c r="A338" s="6" t="s">
        <v>217</v>
      </c>
      <c r="B338" s="7" t="s">
        <v>218</v>
      </c>
      <c r="C338" s="7" t="s">
        <v>257</v>
      </c>
      <c r="D338" s="7" t="s">
        <v>258</v>
      </c>
      <c r="E338" s="7" t="s">
        <v>309</v>
      </c>
      <c r="F338" s="7" t="s">
        <v>319</v>
      </c>
      <c r="G338" s="7" t="s">
        <v>86</v>
      </c>
      <c r="H338" s="7" t="s">
        <v>65</v>
      </c>
      <c r="I338" s="10">
        <v>2206.5050000000001</v>
      </c>
      <c r="J338" s="7" t="s">
        <v>265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3">
        <v>0</v>
      </c>
      <c r="U338" s="13">
        <v>0</v>
      </c>
      <c r="V338" s="15">
        <v>0</v>
      </c>
    </row>
    <row r="339" spans="1:22" ht="14.25" customHeight="1" x14ac:dyDescent="0.35">
      <c r="A339" s="6" t="s">
        <v>40</v>
      </c>
      <c r="B339" s="7" t="s">
        <v>41</v>
      </c>
      <c r="C339" s="7" t="s">
        <v>257</v>
      </c>
      <c r="D339" s="7" t="s">
        <v>258</v>
      </c>
      <c r="E339" s="7" t="s">
        <v>309</v>
      </c>
      <c r="F339" s="7" t="s">
        <v>319</v>
      </c>
      <c r="G339" s="7" t="s">
        <v>86</v>
      </c>
      <c r="H339" s="7" t="s">
        <v>65</v>
      </c>
      <c r="I339" s="10">
        <v>5944</v>
      </c>
      <c r="J339" s="7" t="s">
        <v>265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3">
        <v>0</v>
      </c>
      <c r="U339" s="13">
        <v>0</v>
      </c>
      <c r="V339" s="15">
        <v>0</v>
      </c>
    </row>
    <row r="340" spans="1:22" ht="14.25" customHeight="1" x14ac:dyDescent="0.35">
      <c r="A340" s="6" t="s">
        <v>40</v>
      </c>
      <c r="B340" s="7" t="s">
        <v>41</v>
      </c>
      <c r="C340" s="7" t="s">
        <v>257</v>
      </c>
      <c r="D340" s="7" t="s">
        <v>258</v>
      </c>
      <c r="E340" s="7" t="s">
        <v>320</v>
      </c>
      <c r="F340" s="7" t="s">
        <v>321</v>
      </c>
      <c r="G340" s="7" t="s">
        <v>64</v>
      </c>
      <c r="H340" s="7" t="s">
        <v>65</v>
      </c>
      <c r="I340" s="10">
        <v>23776</v>
      </c>
      <c r="J340" s="7" t="s">
        <v>256</v>
      </c>
      <c r="K340" s="11">
        <v>0</v>
      </c>
      <c r="L340" s="11">
        <v>-4.1265000000000003E-2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69.174999</v>
      </c>
      <c r="S340" s="11">
        <v>66.892223999999999</v>
      </c>
      <c r="T340" s="13">
        <v>0.14000011815999999</v>
      </c>
      <c r="U340" s="13">
        <v>3.3000000000000002E-2</v>
      </c>
      <c r="V340" s="15">
        <v>0.16839999999999999</v>
      </c>
    </row>
    <row r="341" spans="1:22" ht="14.25" customHeight="1" x14ac:dyDescent="0.35">
      <c r="A341" s="6" t="s">
        <v>47</v>
      </c>
      <c r="B341" s="7" t="s">
        <v>48</v>
      </c>
      <c r="C341" s="7" t="s">
        <v>257</v>
      </c>
      <c r="D341" s="7" t="s">
        <v>258</v>
      </c>
      <c r="E341" s="7" t="s">
        <v>320</v>
      </c>
      <c r="F341" s="7" t="s">
        <v>321</v>
      </c>
      <c r="G341" s="7" t="s">
        <v>64</v>
      </c>
      <c r="H341" s="7" t="s">
        <v>65</v>
      </c>
      <c r="I341" s="10">
        <v>19056.126</v>
      </c>
      <c r="J341" s="7" t="s">
        <v>256</v>
      </c>
      <c r="K341" s="11">
        <v>0</v>
      </c>
      <c r="L341" s="11">
        <v>-3.0953999999999999E-2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55.444718000000002</v>
      </c>
      <c r="S341" s="11">
        <v>53.615042000000003</v>
      </c>
      <c r="T341" s="13">
        <v>0.14000011815999999</v>
      </c>
      <c r="U341" s="13">
        <v>3.3000000000000002E-2</v>
      </c>
      <c r="V341" s="15">
        <v>0.16839999999999999</v>
      </c>
    </row>
    <row r="342" spans="1:22" ht="14.25" customHeight="1" x14ac:dyDescent="0.35">
      <c r="A342" s="6" t="s">
        <v>209</v>
      </c>
      <c r="B342" s="7" t="s">
        <v>210</v>
      </c>
      <c r="C342" s="7" t="s">
        <v>257</v>
      </c>
      <c r="D342" s="7" t="s">
        <v>258</v>
      </c>
      <c r="E342" s="7" t="s">
        <v>320</v>
      </c>
      <c r="F342" s="7" t="s">
        <v>321</v>
      </c>
      <c r="G342" s="7" t="s">
        <v>102</v>
      </c>
      <c r="H342" s="7" t="s">
        <v>65</v>
      </c>
      <c r="I342" s="10">
        <v>7293.165</v>
      </c>
      <c r="J342" s="7" t="s">
        <v>256</v>
      </c>
      <c r="K342" s="11">
        <v>0</v>
      </c>
      <c r="L342" s="11">
        <v>-9.0000000000000002E-6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21.231717</v>
      </c>
      <c r="S342" s="11">
        <v>20.53107</v>
      </c>
      <c r="T342" s="13">
        <v>0.14000011815999999</v>
      </c>
      <c r="U342" s="13">
        <v>3.3000000000000002E-2</v>
      </c>
      <c r="V342" s="15">
        <v>0.16839999999999999</v>
      </c>
    </row>
    <row r="343" spans="1:22" ht="14.25" customHeight="1" x14ac:dyDescent="0.35">
      <c r="A343" s="6" t="s">
        <v>217</v>
      </c>
      <c r="B343" s="7" t="s">
        <v>218</v>
      </c>
      <c r="C343" s="7" t="s">
        <v>257</v>
      </c>
      <c r="D343" s="7" t="s">
        <v>258</v>
      </c>
      <c r="E343" s="7" t="s">
        <v>320</v>
      </c>
      <c r="F343" s="7" t="s">
        <v>321</v>
      </c>
      <c r="G343" s="7" t="s">
        <v>64</v>
      </c>
      <c r="H343" s="7" t="s">
        <v>65</v>
      </c>
      <c r="I343" s="10">
        <v>8826.2250000000004</v>
      </c>
      <c r="J343" s="7" t="s">
        <v>256</v>
      </c>
      <c r="K343" s="11">
        <v>0</v>
      </c>
      <c r="L343" s="11">
        <v>-6.9999999999999999E-6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25.69463</v>
      </c>
      <c r="S343" s="11">
        <v>24.846706999999999</v>
      </c>
      <c r="T343" s="13">
        <v>0.14000011815999999</v>
      </c>
      <c r="U343" s="13">
        <v>3.3000000000000002E-2</v>
      </c>
      <c r="V343" s="15">
        <v>0.16839999999999999</v>
      </c>
    </row>
    <row r="344" spans="1:22" ht="14.25" customHeight="1" x14ac:dyDescent="0.35">
      <c r="A344" s="6" t="s">
        <v>49</v>
      </c>
      <c r="B344" s="7" t="s">
        <v>50</v>
      </c>
      <c r="C344" s="7" t="s">
        <v>257</v>
      </c>
      <c r="D344" s="7" t="s">
        <v>258</v>
      </c>
      <c r="E344" s="7" t="s">
        <v>322</v>
      </c>
      <c r="F344" s="7" t="s">
        <v>323</v>
      </c>
      <c r="G344" s="7" t="s">
        <v>64</v>
      </c>
      <c r="H344" s="7" t="s">
        <v>65</v>
      </c>
      <c r="I344" s="10">
        <v>17832</v>
      </c>
      <c r="J344" s="7" t="s">
        <v>256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57.840373999999997</v>
      </c>
      <c r="S344" s="11">
        <v>55.931641999999997</v>
      </c>
      <c r="T344" s="13">
        <v>0.24</v>
      </c>
      <c r="U344" s="13">
        <v>3.3000000000000002E-2</v>
      </c>
      <c r="V344" s="15">
        <v>0.2651</v>
      </c>
    </row>
    <row r="345" spans="1:22" ht="14.25" customHeight="1" x14ac:dyDescent="0.35">
      <c r="A345" s="6" t="s">
        <v>217</v>
      </c>
      <c r="B345" s="7" t="s">
        <v>218</v>
      </c>
      <c r="C345" s="7" t="s">
        <v>324</v>
      </c>
      <c r="D345" s="7" t="s">
        <v>325</v>
      </c>
      <c r="E345" s="7" t="s">
        <v>326</v>
      </c>
      <c r="F345" s="7" t="s">
        <v>327</v>
      </c>
      <c r="G345" s="7" t="s">
        <v>86</v>
      </c>
      <c r="H345" s="7" t="s">
        <v>65</v>
      </c>
      <c r="I345" s="10">
        <v>1</v>
      </c>
      <c r="J345" s="7" t="s">
        <v>328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3">
        <v>0.14000000000000001</v>
      </c>
      <c r="U345" s="13">
        <v>3.3000000000000002E-2</v>
      </c>
      <c r="V345" s="15">
        <v>0.16839999999999999</v>
      </c>
    </row>
    <row r="346" spans="1:22" ht="14.25" customHeight="1" x14ac:dyDescent="0.35">
      <c r="A346" s="6" t="s">
        <v>209</v>
      </c>
      <c r="B346" s="7" t="s">
        <v>210</v>
      </c>
      <c r="C346" s="7" t="s">
        <v>324</v>
      </c>
      <c r="D346" s="7" t="s">
        <v>325</v>
      </c>
      <c r="E346" s="7" t="s">
        <v>326</v>
      </c>
      <c r="F346" s="7" t="s">
        <v>327</v>
      </c>
      <c r="G346" s="7" t="s">
        <v>103</v>
      </c>
      <c r="H346" s="7" t="s">
        <v>65</v>
      </c>
      <c r="I346" s="10">
        <v>0.64600000000000002</v>
      </c>
      <c r="J346" s="7" t="s">
        <v>328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3">
        <v>0.14000000000000001</v>
      </c>
      <c r="U346" s="13">
        <v>3.3000000000000002E-2</v>
      </c>
      <c r="V346" s="15">
        <v>0.16839999999999999</v>
      </c>
    </row>
    <row r="347" spans="1:22" ht="14.25" customHeight="1" x14ac:dyDescent="0.35">
      <c r="A347" s="6" t="s">
        <v>40</v>
      </c>
      <c r="B347" s="7" t="s">
        <v>41</v>
      </c>
      <c r="C347" s="7" t="s">
        <v>329</v>
      </c>
      <c r="D347" s="7" t="s">
        <v>330</v>
      </c>
      <c r="E347" s="7" t="s">
        <v>331</v>
      </c>
      <c r="F347" s="7" t="s">
        <v>332</v>
      </c>
      <c r="G347" s="7" t="s">
        <v>64</v>
      </c>
      <c r="H347" s="7" t="s">
        <v>65</v>
      </c>
      <c r="I347" s="10">
        <v>743</v>
      </c>
      <c r="J347" s="7" t="s">
        <v>265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25.55885</v>
      </c>
      <c r="S347" s="11">
        <v>24.715408</v>
      </c>
      <c r="T347" s="13">
        <v>0.14000000000000001</v>
      </c>
      <c r="U347" s="13">
        <v>3.3000000000000002E-2</v>
      </c>
      <c r="V347" s="15">
        <v>0.16839999999999999</v>
      </c>
    </row>
    <row r="348" spans="1:22" ht="14.25" customHeight="1" x14ac:dyDescent="0.35">
      <c r="A348" s="6" t="s">
        <v>49</v>
      </c>
      <c r="B348" s="7" t="s">
        <v>50</v>
      </c>
      <c r="C348" s="7" t="s">
        <v>329</v>
      </c>
      <c r="D348" s="7" t="s">
        <v>330</v>
      </c>
      <c r="E348" s="7" t="s">
        <v>331</v>
      </c>
      <c r="F348" s="7" t="s">
        <v>332</v>
      </c>
      <c r="G348" s="7" t="s">
        <v>64</v>
      </c>
      <c r="H348" s="7" t="s">
        <v>65</v>
      </c>
      <c r="I348" s="10">
        <v>743</v>
      </c>
      <c r="J348" s="7" t="s">
        <v>265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25.55885</v>
      </c>
      <c r="S348" s="11">
        <v>24.715408</v>
      </c>
      <c r="T348" s="13">
        <v>0.14000000000000001</v>
      </c>
      <c r="U348" s="13">
        <v>3.3000000000000002E-2</v>
      </c>
      <c r="V348" s="15">
        <v>0.16839999999999999</v>
      </c>
    </row>
    <row r="349" spans="1:22" ht="14.25" customHeight="1" x14ac:dyDescent="0.35">
      <c r="A349" s="6" t="s">
        <v>47</v>
      </c>
      <c r="B349" s="7" t="s">
        <v>48</v>
      </c>
      <c r="C349" s="7" t="s">
        <v>329</v>
      </c>
      <c r="D349" s="7" t="s">
        <v>330</v>
      </c>
      <c r="E349" s="7" t="s">
        <v>331</v>
      </c>
      <c r="F349" s="7" t="s">
        <v>332</v>
      </c>
      <c r="G349" s="7" t="s">
        <v>64</v>
      </c>
      <c r="H349" s="7" t="s">
        <v>65</v>
      </c>
      <c r="I349" s="10">
        <v>743</v>
      </c>
      <c r="J349" s="7" t="s">
        <v>265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25.55885</v>
      </c>
      <c r="S349" s="11">
        <v>24.715408</v>
      </c>
      <c r="T349" s="13">
        <v>0.14000000000000001</v>
      </c>
      <c r="U349" s="13">
        <v>3.3000000000000002E-2</v>
      </c>
      <c r="V349" s="15">
        <v>0.16839999999999999</v>
      </c>
    </row>
    <row r="350" spans="1:22" ht="14.25" customHeight="1" x14ac:dyDescent="0.35">
      <c r="A350" s="6" t="s">
        <v>217</v>
      </c>
      <c r="B350" s="7" t="s">
        <v>218</v>
      </c>
      <c r="C350" s="7" t="s">
        <v>329</v>
      </c>
      <c r="D350" s="7" t="s">
        <v>330</v>
      </c>
      <c r="E350" s="7" t="s">
        <v>331</v>
      </c>
      <c r="F350" s="7" t="s">
        <v>332</v>
      </c>
      <c r="G350" s="7" t="s">
        <v>64</v>
      </c>
      <c r="H350" s="7" t="s">
        <v>65</v>
      </c>
      <c r="I350" s="10">
        <v>743</v>
      </c>
      <c r="J350" s="7" t="s">
        <v>265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25.55885</v>
      </c>
      <c r="S350" s="11">
        <v>24.715408</v>
      </c>
      <c r="T350" s="13">
        <v>0.14000000000000001</v>
      </c>
      <c r="U350" s="13">
        <v>3.3000000000000002E-2</v>
      </c>
      <c r="V350" s="15">
        <v>0.16839999999999999</v>
      </c>
    </row>
    <row r="351" spans="1:22" ht="14.25" customHeight="1" x14ac:dyDescent="0.35">
      <c r="A351" s="6" t="s">
        <v>209</v>
      </c>
      <c r="B351" s="7" t="s">
        <v>210</v>
      </c>
      <c r="C351" s="7" t="s">
        <v>329</v>
      </c>
      <c r="D351" s="7" t="s">
        <v>330</v>
      </c>
      <c r="E351" s="7" t="s">
        <v>331</v>
      </c>
      <c r="F351" s="7" t="s">
        <v>332</v>
      </c>
      <c r="G351" s="7" t="s">
        <v>59</v>
      </c>
      <c r="H351" s="7" t="s">
        <v>65</v>
      </c>
      <c r="I351" s="10">
        <v>45.773000000000003</v>
      </c>
      <c r="J351" s="7" t="s">
        <v>265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1.574565</v>
      </c>
      <c r="S351" s="11">
        <v>1.5226040000000001</v>
      </c>
      <c r="T351" s="13">
        <v>0.14000000000000001</v>
      </c>
      <c r="U351" s="13">
        <v>3.3000000000000002E-2</v>
      </c>
      <c r="V351" s="15">
        <v>0.16839999999999999</v>
      </c>
    </row>
    <row r="352" spans="1:22" ht="14.25" customHeight="1" x14ac:dyDescent="0.35">
      <c r="A352" s="6" t="s">
        <v>209</v>
      </c>
      <c r="B352" s="7" t="s">
        <v>210</v>
      </c>
      <c r="C352" s="7" t="s">
        <v>333</v>
      </c>
      <c r="D352" s="7" t="s">
        <v>334</v>
      </c>
      <c r="E352" s="7" t="s">
        <v>335</v>
      </c>
      <c r="F352" s="7" t="s">
        <v>336</v>
      </c>
      <c r="G352" s="7" t="s">
        <v>102</v>
      </c>
      <c r="H352" s="7" t="s">
        <v>111</v>
      </c>
      <c r="I352" s="10">
        <v>0</v>
      </c>
      <c r="J352" s="7" t="s">
        <v>215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3">
        <v>0.14000000000000001</v>
      </c>
      <c r="U352" s="13">
        <v>3.3000000000000002E-2</v>
      </c>
      <c r="V352" s="15">
        <v>0.16839999999999999</v>
      </c>
    </row>
    <row r="353" spans="1:22" ht="14.25" customHeight="1" x14ac:dyDescent="0.35">
      <c r="A353" s="6" t="s">
        <v>217</v>
      </c>
      <c r="B353" s="7" t="s">
        <v>218</v>
      </c>
      <c r="C353" s="7" t="s">
        <v>333</v>
      </c>
      <c r="D353" s="7" t="s">
        <v>334</v>
      </c>
      <c r="E353" s="7" t="s">
        <v>335</v>
      </c>
      <c r="F353" s="7" t="s">
        <v>336</v>
      </c>
      <c r="G353" s="7" t="s">
        <v>58</v>
      </c>
      <c r="H353" s="7" t="s">
        <v>82</v>
      </c>
      <c r="I353" s="10">
        <v>1E-3</v>
      </c>
      <c r="J353" s="7" t="s">
        <v>215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0</v>
      </c>
      <c r="T353" s="13">
        <v>0.14000000000000001</v>
      </c>
      <c r="U353" s="13">
        <v>3.3000000000000002E-2</v>
      </c>
      <c r="V353" s="15">
        <v>0.16839999999999999</v>
      </c>
    </row>
    <row r="354" spans="1:22" ht="14.25" customHeight="1" x14ac:dyDescent="0.35">
      <c r="A354" s="6" t="s">
        <v>49</v>
      </c>
      <c r="B354" s="7" t="s">
        <v>50</v>
      </c>
      <c r="C354" s="7" t="s">
        <v>333</v>
      </c>
      <c r="D354" s="7" t="s">
        <v>334</v>
      </c>
      <c r="E354" s="7" t="s">
        <v>335</v>
      </c>
      <c r="F354" s="7" t="s">
        <v>336</v>
      </c>
      <c r="G354" s="7" t="s">
        <v>86</v>
      </c>
      <c r="H354" s="7" t="s">
        <v>65</v>
      </c>
      <c r="I354" s="10">
        <v>1E-3</v>
      </c>
      <c r="J354" s="7" t="s">
        <v>215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3">
        <v>0.14000000000000001</v>
      </c>
      <c r="U354" s="13">
        <v>3.3000000000000002E-2</v>
      </c>
      <c r="V354" s="15">
        <v>0.16839999999999999</v>
      </c>
    </row>
    <row r="355" spans="1:22" ht="14.25" customHeight="1" x14ac:dyDescent="0.35">
      <c r="A355" s="6" t="s">
        <v>40</v>
      </c>
      <c r="B355" s="7" t="s">
        <v>41</v>
      </c>
      <c r="C355" s="7" t="s">
        <v>333</v>
      </c>
      <c r="D355" s="7" t="s">
        <v>334</v>
      </c>
      <c r="E355" s="7" t="s">
        <v>335</v>
      </c>
      <c r="F355" s="7" t="s">
        <v>336</v>
      </c>
      <c r="G355" s="7" t="s">
        <v>152</v>
      </c>
      <c r="H355" s="7" t="s">
        <v>111</v>
      </c>
      <c r="I355" s="10">
        <v>0</v>
      </c>
      <c r="J355" s="7" t="s">
        <v>215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3">
        <v>0.14000000000000001</v>
      </c>
      <c r="U355" s="13">
        <v>3.3000000000000002E-2</v>
      </c>
      <c r="V355" s="15">
        <v>0.16839999999999999</v>
      </c>
    </row>
    <row r="356" spans="1:22" ht="14.25" customHeight="1" x14ac:dyDescent="0.35">
      <c r="A356" s="6" t="s">
        <v>47</v>
      </c>
      <c r="B356" s="7" t="s">
        <v>48</v>
      </c>
      <c r="C356" s="7" t="s">
        <v>333</v>
      </c>
      <c r="D356" s="7" t="s">
        <v>334</v>
      </c>
      <c r="E356" s="7" t="s">
        <v>335</v>
      </c>
      <c r="F356" s="7" t="s">
        <v>336</v>
      </c>
      <c r="G356" s="7" t="s">
        <v>76</v>
      </c>
      <c r="H356" s="7" t="s">
        <v>65</v>
      </c>
      <c r="I356" s="10">
        <v>5.0000000000000001E-3</v>
      </c>
      <c r="J356" s="7" t="s">
        <v>215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3">
        <v>0.14000000000000001</v>
      </c>
      <c r="U356" s="13">
        <v>3.3000000000000002E-2</v>
      </c>
      <c r="V356" s="15">
        <v>0.16839999999999999</v>
      </c>
    </row>
    <row r="357" spans="1:22" ht="14.25" customHeight="1" x14ac:dyDescent="0.35">
      <c r="A357" s="6" t="s">
        <v>217</v>
      </c>
      <c r="B357" s="7" t="s">
        <v>218</v>
      </c>
      <c r="C357" s="7" t="s">
        <v>333</v>
      </c>
      <c r="D357" s="7" t="s">
        <v>334</v>
      </c>
      <c r="E357" s="7" t="s">
        <v>337</v>
      </c>
      <c r="F357" s="7" t="s">
        <v>338</v>
      </c>
      <c r="G357" s="7" t="s">
        <v>76</v>
      </c>
      <c r="H357" s="7" t="s">
        <v>65</v>
      </c>
      <c r="I357" s="10">
        <v>272</v>
      </c>
      <c r="J357" s="7" t="s">
        <v>46</v>
      </c>
      <c r="K357" s="11">
        <v>0</v>
      </c>
      <c r="L357" s="11">
        <v>0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1">
        <v>1.175E-3</v>
      </c>
      <c r="S357" s="11">
        <v>1.1360000000000001E-3</v>
      </c>
      <c r="T357" s="13">
        <v>0.14000000000000001</v>
      </c>
      <c r="U357" s="13">
        <v>3.3000000000000002E-2</v>
      </c>
      <c r="V357" s="15">
        <v>0.16839999999999999</v>
      </c>
    </row>
    <row r="358" spans="1:22" ht="14.25" customHeight="1" x14ac:dyDescent="0.35">
      <c r="A358" s="6" t="s">
        <v>49</v>
      </c>
      <c r="B358" s="7" t="s">
        <v>50</v>
      </c>
      <c r="C358" s="7" t="s">
        <v>333</v>
      </c>
      <c r="D358" s="7" t="s">
        <v>334</v>
      </c>
      <c r="E358" s="7" t="s">
        <v>337</v>
      </c>
      <c r="F358" s="7" t="s">
        <v>338</v>
      </c>
      <c r="G358" s="7" t="s">
        <v>86</v>
      </c>
      <c r="H358" s="7" t="s">
        <v>65</v>
      </c>
      <c r="I358" s="10">
        <v>292</v>
      </c>
      <c r="J358" s="7" t="s">
        <v>46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1.2520000000000001E-3</v>
      </c>
      <c r="S358" s="11">
        <v>1.2110000000000001E-3</v>
      </c>
      <c r="T358" s="13">
        <v>0.14000000000000001</v>
      </c>
      <c r="U358" s="13">
        <v>3.3000000000000002E-2</v>
      </c>
      <c r="V358" s="15">
        <v>0.16839999999999999</v>
      </c>
    </row>
    <row r="359" spans="1:22" ht="14.25" customHeight="1" x14ac:dyDescent="0.35">
      <c r="A359" s="6" t="s">
        <v>209</v>
      </c>
      <c r="B359" s="7" t="s">
        <v>210</v>
      </c>
      <c r="C359" s="7" t="s">
        <v>333</v>
      </c>
      <c r="D359" s="7" t="s">
        <v>334</v>
      </c>
      <c r="E359" s="7" t="s">
        <v>337</v>
      </c>
      <c r="F359" s="7" t="s">
        <v>338</v>
      </c>
      <c r="G359" s="7" t="s">
        <v>102</v>
      </c>
      <c r="H359" s="7" t="s">
        <v>110</v>
      </c>
      <c r="I359" s="10">
        <v>22</v>
      </c>
      <c r="J359" s="7" t="s">
        <v>46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9.2999999999999997E-5</v>
      </c>
      <c r="S359" s="11">
        <v>9.0000000000000006E-5</v>
      </c>
      <c r="T359" s="13">
        <v>0.14000000000000001</v>
      </c>
      <c r="U359" s="13">
        <v>3.3000000000000002E-2</v>
      </c>
      <c r="V359" s="15">
        <v>0.16839999999999999</v>
      </c>
    </row>
    <row r="360" spans="1:22" ht="14.25" customHeight="1" x14ac:dyDescent="0.35">
      <c r="A360" s="6" t="s">
        <v>40</v>
      </c>
      <c r="B360" s="7" t="s">
        <v>41</v>
      </c>
      <c r="C360" s="7" t="s">
        <v>333</v>
      </c>
      <c r="D360" s="7" t="s">
        <v>334</v>
      </c>
      <c r="E360" s="7" t="s">
        <v>337</v>
      </c>
      <c r="F360" s="7" t="s">
        <v>338</v>
      </c>
      <c r="G360" s="7" t="s">
        <v>152</v>
      </c>
      <c r="H360" s="7" t="s">
        <v>119</v>
      </c>
      <c r="I360" s="10">
        <v>49</v>
      </c>
      <c r="J360" s="7" t="s">
        <v>46</v>
      </c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2.1100000000000001E-4</v>
      </c>
      <c r="S360" s="11">
        <v>2.04E-4</v>
      </c>
      <c r="T360" s="13">
        <v>0.14000000000000001</v>
      </c>
      <c r="U360" s="13">
        <v>3.3000000000000002E-2</v>
      </c>
      <c r="V360" s="15">
        <v>0.16839999999999999</v>
      </c>
    </row>
    <row r="361" spans="1:22" ht="14.25" customHeight="1" x14ac:dyDescent="0.35">
      <c r="A361" s="6" t="s">
        <v>47</v>
      </c>
      <c r="B361" s="7" t="s">
        <v>48</v>
      </c>
      <c r="C361" s="7" t="s">
        <v>333</v>
      </c>
      <c r="D361" s="7" t="s">
        <v>334</v>
      </c>
      <c r="E361" s="7" t="s">
        <v>337</v>
      </c>
      <c r="F361" s="7" t="s">
        <v>338</v>
      </c>
      <c r="G361" s="7" t="s">
        <v>76</v>
      </c>
      <c r="H361" s="7" t="s">
        <v>65</v>
      </c>
      <c r="I361" s="10">
        <v>277</v>
      </c>
      <c r="J361" s="7" t="s">
        <v>46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1.193E-3</v>
      </c>
      <c r="S361" s="11">
        <v>1.1540000000000001E-3</v>
      </c>
      <c r="T361" s="13">
        <v>0.14000000000000001</v>
      </c>
      <c r="U361" s="13">
        <v>3.3000000000000002E-2</v>
      </c>
      <c r="V361" s="15">
        <v>0.16839999999999999</v>
      </c>
    </row>
    <row r="362" spans="1:22" ht="14.25" customHeight="1" x14ac:dyDescent="0.35">
      <c r="A362" s="6" t="s">
        <v>217</v>
      </c>
      <c r="B362" s="7" t="s">
        <v>218</v>
      </c>
      <c r="C362" s="7" t="s">
        <v>333</v>
      </c>
      <c r="D362" s="7" t="s">
        <v>334</v>
      </c>
      <c r="E362" s="7" t="s">
        <v>339</v>
      </c>
      <c r="F362" s="7" t="s">
        <v>340</v>
      </c>
      <c r="G362" s="7" t="s">
        <v>76</v>
      </c>
      <c r="H362" s="7" t="s">
        <v>65</v>
      </c>
      <c r="I362" s="10">
        <v>241</v>
      </c>
      <c r="J362" s="7" t="s">
        <v>46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8.3999999999999995E-5</v>
      </c>
      <c r="S362" s="11">
        <v>8.1000000000000004E-5</v>
      </c>
      <c r="T362" s="13">
        <v>0.14000000000000001</v>
      </c>
      <c r="U362" s="13">
        <v>3.3000000000000002E-2</v>
      </c>
      <c r="V362" s="15">
        <v>0.16839999999999999</v>
      </c>
    </row>
    <row r="363" spans="1:22" ht="14.25" customHeight="1" x14ac:dyDescent="0.35">
      <c r="A363" s="6" t="s">
        <v>209</v>
      </c>
      <c r="B363" s="7" t="s">
        <v>210</v>
      </c>
      <c r="C363" s="7" t="s">
        <v>333</v>
      </c>
      <c r="D363" s="7" t="s">
        <v>334</v>
      </c>
      <c r="E363" s="7" t="s">
        <v>339</v>
      </c>
      <c r="F363" s="7" t="s">
        <v>340</v>
      </c>
      <c r="G363" s="7" t="s">
        <v>102</v>
      </c>
      <c r="H363" s="7" t="s">
        <v>111</v>
      </c>
      <c r="I363" s="10">
        <v>44</v>
      </c>
      <c r="J363" s="7" t="s">
        <v>46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1.2999999999999999E-5</v>
      </c>
      <c r="S363" s="11">
        <v>1.2999999999999999E-5</v>
      </c>
      <c r="T363" s="13">
        <v>0.14000000000000001</v>
      </c>
      <c r="U363" s="13">
        <v>3.3000000000000002E-2</v>
      </c>
      <c r="V363" s="15">
        <v>0.16839999999999999</v>
      </c>
    </row>
    <row r="364" spans="1:22" ht="14.25" customHeight="1" x14ac:dyDescent="0.35">
      <c r="A364" s="6" t="s">
        <v>47</v>
      </c>
      <c r="B364" s="7" t="s">
        <v>48</v>
      </c>
      <c r="C364" s="7" t="s">
        <v>333</v>
      </c>
      <c r="D364" s="7" t="s">
        <v>334</v>
      </c>
      <c r="E364" s="7" t="s">
        <v>339</v>
      </c>
      <c r="F364" s="7" t="s">
        <v>340</v>
      </c>
      <c r="G364" s="7" t="s">
        <v>180</v>
      </c>
      <c r="H364" s="7" t="s">
        <v>65</v>
      </c>
      <c r="I364" s="10">
        <v>62232</v>
      </c>
      <c r="J364" s="7" t="s">
        <v>46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2.1378999999999999E-2</v>
      </c>
      <c r="S364" s="11">
        <v>2.0673E-2</v>
      </c>
      <c r="T364" s="13">
        <v>0.14000000000000001</v>
      </c>
      <c r="U364" s="13">
        <v>3.3000000000000002E-2</v>
      </c>
      <c r="V364" s="15">
        <v>0.16839999999999999</v>
      </c>
    </row>
    <row r="365" spans="1:22" ht="14.25" customHeight="1" x14ac:dyDescent="0.35">
      <c r="A365" s="6" t="s">
        <v>49</v>
      </c>
      <c r="B365" s="7" t="s">
        <v>50</v>
      </c>
      <c r="C365" s="7" t="s">
        <v>333</v>
      </c>
      <c r="D365" s="7" t="s">
        <v>334</v>
      </c>
      <c r="E365" s="7" t="s">
        <v>339</v>
      </c>
      <c r="F365" s="7" t="s">
        <v>340</v>
      </c>
      <c r="G365" s="7" t="s">
        <v>180</v>
      </c>
      <c r="H365" s="7" t="s">
        <v>65</v>
      </c>
      <c r="I365" s="10">
        <v>20758</v>
      </c>
      <c r="J365" s="7" t="s">
        <v>46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7.136E-3</v>
      </c>
      <c r="S365" s="11">
        <v>6.901E-3</v>
      </c>
      <c r="T365" s="13">
        <v>0.14000000000000001</v>
      </c>
      <c r="U365" s="13">
        <v>3.3000000000000002E-2</v>
      </c>
      <c r="V365" s="15">
        <v>0.16839999999999999</v>
      </c>
    </row>
    <row r="366" spans="1:22" ht="14.25" customHeight="1" x14ac:dyDescent="0.35">
      <c r="A366" s="6" t="s">
        <v>40</v>
      </c>
      <c r="B366" s="7" t="s">
        <v>41</v>
      </c>
      <c r="C366" s="7" t="s">
        <v>333</v>
      </c>
      <c r="D366" s="7" t="s">
        <v>334</v>
      </c>
      <c r="E366" s="7" t="s">
        <v>339</v>
      </c>
      <c r="F366" s="7" t="s">
        <v>340</v>
      </c>
      <c r="G366" s="7" t="s">
        <v>86</v>
      </c>
      <c r="H366" s="7" t="s">
        <v>65</v>
      </c>
      <c r="I366" s="10">
        <v>66877</v>
      </c>
      <c r="J366" s="7" t="s">
        <v>46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2.3005999999999999E-2</v>
      </c>
      <c r="S366" s="11">
        <v>2.2246999999999999E-2</v>
      </c>
      <c r="T366" s="13">
        <v>0.14000000000000001</v>
      </c>
      <c r="U366" s="13">
        <v>3.3000000000000002E-2</v>
      </c>
      <c r="V366" s="15">
        <v>0.16839999999999999</v>
      </c>
    </row>
    <row r="367" spans="1:22" ht="14.25" customHeight="1" x14ac:dyDescent="0.35">
      <c r="A367" s="6" t="s">
        <v>217</v>
      </c>
      <c r="B367" s="7" t="s">
        <v>218</v>
      </c>
      <c r="C367" s="7" t="s">
        <v>333</v>
      </c>
      <c r="D367" s="7" t="s">
        <v>334</v>
      </c>
      <c r="E367" s="7" t="s">
        <v>341</v>
      </c>
      <c r="F367" s="7" t="s">
        <v>342</v>
      </c>
      <c r="G367" s="7" t="s">
        <v>86</v>
      </c>
      <c r="H367" s="7" t="s">
        <v>65</v>
      </c>
      <c r="I367" s="10">
        <v>2.3E-2</v>
      </c>
      <c r="J367" s="7" t="s">
        <v>66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3.7100000000000002E-4</v>
      </c>
      <c r="S367" s="11">
        <v>3.59E-4</v>
      </c>
      <c r="T367" s="13">
        <v>0.14000000000000001</v>
      </c>
      <c r="U367" s="13">
        <v>3.3000000000000002E-2</v>
      </c>
      <c r="V367" s="15">
        <v>0.16839999999999999</v>
      </c>
    </row>
    <row r="368" spans="1:22" ht="14.25" customHeight="1" x14ac:dyDescent="0.35">
      <c r="A368" s="6" t="s">
        <v>209</v>
      </c>
      <c r="B368" s="7" t="s">
        <v>210</v>
      </c>
      <c r="C368" s="7" t="s">
        <v>333</v>
      </c>
      <c r="D368" s="7" t="s">
        <v>334</v>
      </c>
      <c r="E368" s="7" t="s">
        <v>341</v>
      </c>
      <c r="F368" s="7" t="s">
        <v>342</v>
      </c>
      <c r="G368" s="7" t="s">
        <v>159</v>
      </c>
      <c r="H368" s="7" t="s">
        <v>65</v>
      </c>
      <c r="I368" s="10">
        <v>2E-3</v>
      </c>
      <c r="J368" s="7" t="s">
        <v>66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2.0999999999999999E-5</v>
      </c>
      <c r="S368" s="11">
        <v>2.0000000000000002E-5</v>
      </c>
      <c r="T368" s="13">
        <v>0.14000000000000001</v>
      </c>
      <c r="U368" s="13">
        <v>3.3000000000000002E-2</v>
      </c>
      <c r="V368" s="15">
        <v>0.16839999999999999</v>
      </c>
    </row>
    <row r="369" spans="1:22" ht="14.25" customHeight="1" x14ac:dyDescent="0.35">
      <c r="A369" s="6" t="s">
        <v>40</v>
      </c>
      <c r="B369" s="7" t="s">
        <v>41</v>
      </c>
      <c r="C369" s="7" t="s">
        <v>333</v>
      </c>
      <c r="D369" s="7" t="s">
        <v>334</v>
      </c>
      <c r="E369" s="7" t="s">
        <v>341</v>
      </c>
      <c r="F369" s="7" t="s">
        <v>342</v>
      </c>
      <c r="G369" s="7" t="s">
        <v>86</v>
      </c>
      <c r="H369" s="7" t="s">
        <v>65</v>
      </c>
      <c r="I369" s="10">
        <v>0.26</v>
      </c>
      <c r="J369" s="7" t="s">
        <v>66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4.4400000000000004E-3</v>
      </c>
      <c r="S369" s="11">
        <v>4.2929999999999999E-3</v>
      </c>
      <c r="T369" s="13">
        <v>0.14000000000000001</v>
      </c>
      <c r="U369" s="13">
        <v>3.3000000000000002E-2</v>
      </c>
      <c r="V369" s="15">
        <v>0.16839999999999999</v>
      </c>
    </row>
    <row r="370" spans="1:22" ht="14.25" customHeight="1" x14ac:dyDescent="0.35">
      <c r="A370" s="6" t="s">
        <v>47</v>
      </c>
      <c r="B370" s="7" t="s">
        <v>48</v>
      </c>
      <c r="C370" s="7" t="s">
        <v>333</v>
      </c>
      <c r="D370" s="7" t="s">
        <v>334</v>
      </c>
      <c r="E370" s="7" t="s">
        <v>341</v>
      </c>
      <c r="F370" s="7" t="s">
        <v>342</v>
      </c>
      <c r="G370" s="7" t="s">
        <v>86</v>
      </c>
      <c r="H370" s="7" t="s">
        <v>65</v>
      </c>
      <c r="I370" s="10">
        <v>3.5950000000000002</v>
      </c>
      <c r="J370" s="7" t="s">
        <v>66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6.1801000000000002E-2</v>
      </c>
      <c r="S370" s="11">
        <v>5.9762000000000003E-2</v>
      </c>
      <c r="T370" s="13">
        <v>0.14000000000000001</v>
      </c>
      <c r="U370" s="13">
        <v>3.3000000000000002E-2</v>
      </c>
      <c r="V370" s="15">
        <v>0.16839999999999999</v>
      </c>
    </row>
    <row r="371" spans="1:22" ht="14.25" customHeight="1" x14ac:dyDescent="0.35">
      <c r="A371" s="6" t="s">
        <v>49</v>
      </c>
      <c r="B371" s="7" t="s">
        <v>50</v>
      </c>
      <c r="C371" s="7" t="s">
        <v>333</v>
      </c>
      <c r="D371" s="7" t="s">
        <v>334</v>
      </c>
      <c r="E371" s="7" t="s">
        <v>341</v>
      </c>
      <c r="F371" s="7" t="s">
        <v>342</v>
      </c>
      <c r="G371" s="7" t="s">
        <v>86</v>
      </c>
      <c r="H371" s="7" t="s">
        <v>65</v>
      </c>
      <c r="I371" s="10">
        <v>3.7719999999999998</v>
      </c>
      <c r="J371" s="7" t="s">
        <v>66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6.4852999999999994E-2</v>
      </c>
      <c r="S371" s="11">
        <v>6.2713000000000005E-2</v>
      </c>
      <c r="T371" s="13">
        <v>0.14000000000000001</v>
      </c>
      <c r="U371" s="13">
        <v>3.3000000000000002E-2</v>
      </c>
      <c r="V371" s="15">
        <v>0.16839999999999999</v>
      </c>
    </row>
    <row r="372" spans="1:22" ht="14.25" customHeight="1" x14ac:dyDescent="0.35">
      <c r="A372" s="6" t="s">
        <v>209</v>
      </c>
      <c r="B372" s="7" t="s">
        <v>210</v>
      </c>
      <c r="C372" s="7" t="s">
        <v>343</v>
      </c>
      <c r="D372" s="7" t="s">
        <v>344</v>
      </c>
      <c r="E372" s="7" t="s">
        <v>345</v>
      </c>
      <c r="F372" s="7" t="s">
        <v>346</v>
      </c>
      <c r="G372" s="7" t="s">
        <v>102</v>
      </c>
      <c r="H372" s="7" t="s">
        <v>65</v>
      </c>
      <c r="I372" s="10">
        <v>0.36299999999999999</v>
      </c>
      <c r="J372" s="7" t="s">
        <v>215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3">
        <v>0.14000000000000001</v>
      </c>
      <c r="U372" s="13">
        <v>3.3000000000000002E-2</v>
      </c>
      <c r="V372" s="15">
        <v>0.16839999999999999</v>
      </c>
    </row>
    <row r="373" spans="1:22" ht="14.25" customHeight="1" x14ac:dyDescent="0.35">
      <c r="A373" s="6" t="s">
        <v>217</v>
      </c>
      <c r="B373" s="7" t="s">
        <v>218</v>
      </c>
      <c r="C373" s="7" t="s">
        <v>343</v>
      </c>
      <c r="D373" s="7" t="s">
        <v>344</v>
      </c>
      <c r="E373" s="7" t="s">
        <v>345</v>
      </c>
      <c r="F373" s="7" t="s">
        <v>346</v>
      </c>
      <c r="G373" s="7" t="s">
        <v>86</v>
      </c>
      <c r="H373" s="7" t="s">
        <v>65</v>
      </c>
      <c r="I373" s="10">
        <v>0.55600000000000005</v>
      </c>
      <c r="J373" s="7" t="s">
        <v>215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3">
        <v>0.14000000000000001</v>
      </c>
      <c r="U373" s="13">
        <v>3.3000000000000002E-2</v>
      </c>
      <c r="V373" s="15">
        <v>0.16839999999999999</v>
      </c>
    </row>
    <row r="374" spans="1:22" ht="14.25" customHeight="1" x14ac:dyDescent="0.35">
      <c r="A374" s="6" t="s">
        <v>209</v>
      </c>
      <c r="B374" s="7" t="s">
        <v>210</v>
      </c>
      <c r="C374" s="7" t="s">
        <v>343</v>
      </c>
      <c r="D374" s="7" t="s">
        <v>344</v>
      </c>
      <c r="E374" s="7" t="s">
        <v>347</v>
      </c>
      <c r="F374" s="7" t="s">
        <v>348</v>
      </c>
      <c r="G374" s="7" t="s">
        <v>102</v>
      </c>
      <c r="H374" s="7" t="s">
        <v>65</v>
      </c>
      <c r="I374" s="10">
        <v>668.63199999999995</v>
      </c>
      <c r="J374" s="7" t="s">
        <v>256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6.5525469999999997</v>
      </c>
      <c r="S374" s="11">
        <v>6.3363129999999996</v>
      </c>
      <c r="T374" s="13">
        <v>0.3</v>
      </c>
      <c r="U374" s="13">
        <v>3.3000000000000002E-2</v>
      </c>
      <c r="V374" s="15">
        <v>0.3231</v>
      </c>
    </row>
    <row r="375" spans="1:22" ht="14.25" customHeight="1" x14ac:dyDescent="0.35">
      <c r="A375" s="6" t="s">
        <v>217</v>
      </c>
      <c r="B375" s="7" t="s">
        <v>218</v>
      </c>
      <c r="C375" s="7" t="s">
        <v>343</v>
      </c>
      <c r="D375" s="7" t="s">
        <v>344</v>
      </c>
      <c r="E375" s="7" t="s">
        <v>347</v>
      </c>
      <c r="F375" s="7" t="s">
        <v>348</v>
      </c>
      <c r="G375" s="7" t="s">
        <v>64</v>
      </c>
      <c r="H375" s="7" t="s">
        <v>65</v>
      </c>
      <c r="I375" s="10">
        <v>1017.079</v>
      </c>
      <c r="J375" s="7" t="s">
        <v>256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0</v>
      </c>
      <c r="R375" s="11">
        <v>9.9672920000000005</v>
      </c>
      <c r="S375" s="11">
        <v>9.6383709999999994</v>
      </c>
      <c r="T375" s="13">
        <v>0.3</v>
      </c>
      <c r="U375" s="13">
        <v>3.3000000000000002E-2</v>
      </c>
      <c r="V375" s="15">
        <v>0.3231</v>
      </c>
    </row>
    <row r="376" spans="1:22" ht="14.25" customHeight="1" x14ac:dyDescent="0.35">
      <c r="A376" s="6" t="s">
        <v>217</v>
      </c>
      <c r="B376" s="7" t="s">
        <v>218</v>
      </c>
      <c r="C376" s="7" t="s">
        <v>343</v>
      </c>
      <c r="D376" s="7" t="s">
        <v>344</v>
      </c>
      <c r="E376" s="7" t="s">
        <v>349</v>
      </c>
      <c r="F376" s="7" t="s">
        <v>350</v>
      </c>
      <c r="G376" s="7" t="s">
        <v>86</v>
      </c>
      <c r="H376" s="7" t="s">
        <v>65</v>
      </c>
      <c r="I376" s="10">
        <v>7.0000000000000001E-3</v>
      </c>
      <c r="J376" s="7" t="s">
        <v>66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3">
        <v>0</v>
      </c>
      <c r="U376" s="13">
        <v>0</v>
      </c>
      <c r="V376" s="15">
        <v>0</v>
      </c>
    </row>
    <row r="377" spans="1:22" ht="14.25" customHeight="1" x14ac:dyDescent="0.35">
      <c r="A377" s="6" t="s">
        <v>209</v>
      </c>
      <c r="B377" s="7" t="s">
        <v>210</v>
      </c>
      <c r="C377" s="7" t="s">
        <v>343</v>
      </c>
      <c r="D377" s="7" t="s">
        <v>344</v>
      </c>
      <c r="E377" s="7" t="s">
        <v>349</v>
      </c>
      <c r="F377" s="7" t="s">
        <v>350</v>
      </c>
      <c r="G377" s="7" t="s">
        <v>102</v>
      </c>
      <c r="H377" s="7" t="s">
        <v>65</v>
      </c>
      <c r="I377" s="10">
        <v>5.0000000000000001E-3</v>
      </c>
      <c r="J377" s="7" t="s">
        <v>66</v>
      </c>
      <c r="K377" s="11">
        <v>0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0</v>
      </c>
      <c r="T377" s="13">
        <v>0</v>
      </c>
      <c r="U377" s="13">
        <v>0</v>
      </c>
      <c r="V377" s="15">
        <v>0</v>
      </c>
    </row>
    <row r="378" spans="1:22" ht="14.25" customHeight="1" x14ac:dyDescent="0.35">
      <c r="A378" s="6" t="s">
        <v>217</v>
      </c>
      <c r="B378" s="7" t="s">
        <v>218</v>
      </c>
      <c r="C378" s="7" t="s">
        <v>343</v>
      </c>
      <c r="D378" s="7" t="s">
        <v>344</v>
      </c>
      <c r="E378" s="7" t="s">
        <v>351</v>
      </c>
      <c r="F378" s="7" t="s">
        <v>352</v>
      </c>
      <c r="G378" s="7" t="s">
        <v>64</v>
      </c>
      <c r="H378" s="7" t="s">
        <v>64</v>
      </c>
      <c r="I378" s="10">
        <v>0</v>
      </c>
      <c r="J378" s="7" t="s">
        <v>265</v>
      </c>
      <c r="K378" s="11">
        <v>0</v>
      </c>
      <c r="L378" s="11">
        <v>0</v>
      </c>
      <c r="M378" s="11">
        <v>0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3">
        <v>0</v>
      </c>
      <c r="U378" s="13">
        <v>0</v>
      </c>
      <c r="V378" s="15">
        <v>0</v>
      </c>
    </row>
    <row r="379" spans="1:22" ht="14.25" customHeight="1" x14ac:dyDescent="0.35">
      <c r="A379" s="6" t="s">
        <v>209</v>
      </c>
      <c r="B379" s="7" t="s">
        <v>210</v>
      </c>
      <c r="C379" s="7" t="s">
        <v>343</v>
      </c>
      <c r="D379" s="7" t="s">
        <v>344</v>
      </c>
      <c r="E379" s="7" t="s">
        <v>353</v>
      </c>
      <c r="F379" s="7" t="s">
        <v>354</v>
      </c>
      <c r="G379" s="7" t="s">
        <v>102</v>
      </c>
      <c r="H379" s="7" t="s">
        <v>65</v>
      </c>
      <c r="I379" s="10">
        <v>67.584000000000003</v>
      </c>
      <c r="J379" s="7" t="s">
        <v>66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19.760943999999999</v>
      </c>
      <c r="S379" s="11">
        <v>19.108833000000001</v>
      </c>
      <c r="T379" s="13">
        <v>0.14000000000000001</v>
      </c>
      <c r="U379" s="13">
        <v>3.3000000000000002E-2</v>
      </c>
      <c r="V379" s="15">
        <v>0.16839999999999999</v>
      </c>
    </row>
    <row r="380" spans="1:22" ht="14.25" customHeight="1" x14ac:dyDescent="0.35">
      <c r="A380" s="6" t="s">
        <v>217</v>
      </c>
      <c r="B380" s="7" t="s">
        <v>218</v>
      </c>
      <c r="C380" s="7" t="s">
        <v>343</v>
      </c>
      <c r="D380" s="7" t="s">
        <v>344</v>
      </c>
      <c r="E380" s="7" t="s">
        <v>353</v>
      </c>
      <c r="F380" s="7" t="s">
        <v>354</v>
      </c>
      <c r="G380" s="7" t="s">
        <v>64</v>
      </c>
      <c r="H380" s="7" t="s">
        <v>65</v>
      </c>
      <c r="I380" s="10">
        <v>20</v>
      </c>
      <c r="J380" s="7" t="s">
        <v>66</v>
      </c>
      <c r="K380" s="11">
        <v>0</v>
      </c>
      <c r="L380" s="11">
        <v>0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5.84741</v>
      </c>
      <c r="S380" s="11">
        <v>5.6544449999999999</v>
      </c>
      <c r="T380" s="13">
        <v>0.14000000000000001</v>
      </c>
      <c r="U380" s="13">
        <v>3.3000000000000002E-2</v>
      </c>
      <c r="V380" s="15">
        <v>0.16839999999999999</v>
      </c>
    </row>
    <row r="381" spans="1:22" ht="14.25" customHeight="1" x14ac:dyDescent="0.35">
      <c r="A381" s="6" t="s">
        <v>209</v>
      </c>
      <c r="B381" s="7" t="s">
        <v>210</v>
      </c>
      <c r="C381" s="7" t="s">
        <v>343</v>
      </c>
      <c r="D381" s="7" t="s">
        <v>344</v>
      </c>
      <c r="E381" s="7" t="s">
        <v>355</v>
      </c>
      <c r="F381" s="7" t="s">
        <v>356</v>
      </c>
      <c r="G381" s="7" t="s">
        <v>102</v>
      </c>
      <c r="H381" s="7" t="s">
        <v>65</v>
      </c>
      <c r="I381" s="10">
        <v>356.60399999999998</v>
      </c>
      <c r="J381" s="7" t="s">
        <v>265</v>
      </c>
      <c r="K381" s="11">
        <v>0</v>
      </c>
      <c r="L381" s="11">
        <v>0</v>
      </c>
      <c r="M381" s="11">
        <v>0</v>
      </c>
      <c r="N381" s="11">
        <v>0</v>
      </c>
      <c r="O381" s="11">
        <v>0</v>
      </c>
      <c r="P381" s="11">
        <v>0</v>
      </c>
      <c r="Q381" s="11">
        <v>0</v>
      </c>
      <c r="R381" s="11">
        <v>20.618767999999999</v>
      </c>
      <c r="S381" s="11">
        <v>19.938348999999999</v>
      </c>
      <c r="T381" s="13">
        <v>0.3</v>
      </c>
      <c r="U381" s="13">
        <v>3.3000000000000002E-2</v>
      </c>
      <c r="V381" s="15">
        <v>0.3231</v>
      </c>
    </row>
    <row r="382" spans="1:22" ht="14.25" customHeight="1" x14ac:dyDescent="0.35">
      <c r="A382" s="6" t="s">
        <v>217</v>
      </c>
      <c r="B382" s="7" t="s">
        <v>218</v>
      </c>
      <c r="C382" s="7" t="s">
        <v>343</v>
      </c>
      <c r="D382" s="7" t="s">
        <v>344</v>
      </c>
      <c r="E382" s="7" t="s">
        <v>355</v>
      </c>
      <c r="F382" s="7" t="s">
        <v>356</v>
      </c>
      <c r="G382" s="7" t="s">
        <v>64</v>
      </c>
      <c r="H382" s="7" t="s">
        <v>65</v>
      </c>
      <c r="I382" s="10">
        <v>542.44200000000001</v>
      </c>
      <c r="J382" s="7" t="s">
        <v>265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31.363907999999999</v>
      </c>
      <c r="S382" s="11">
        <v>30.328899</v>
      </c>
      <c r="T382" s="13">
        <v>0.3</v>
      </c>
      <c r="U382" s="13">
        <v>3.3000000000000002E-2</v>
      </c>
      <c r="V382" s="15">
        <v>0.3231</v>
      </c>
    </row>
    <row r="383" spans="1:22" ht="14.25" customHeight="1" x14ac:dyDescent="0.35">
      <c r="A383" s="6" t="s">
        <v>217</v>
      </c>
      <c r="B383" s="7" t="s">
        <v>218</v>
      </c>
      <c r="C383" s="7" t="s">
        <v>357</v>
      </c>
      <c r="D383" s="7" t="s">
        <v>358</v>
      </c>
      <c r="E383" s="7" t="s">
        <v>359</v>
      </c>
      <c r="F383" s="7" t="s">
        <v>360</v>
      </c>
      <c r="G383" s="7" t="s">
        <v>86</v>
      </c>
      <c r="H383" s="7" t="s">
        <v>65</v>
      </c>
      <c r="I383" s="10">
        <v>0</v>
      </c>
      <c r="J383" s="7" t="s">
        <v>361</v>
      </c>
      <c r="K383" s="11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2.111E-3</v>
      </c>
      <c r="S383" s="11">
        <v>2.0409999999999998E-3</v>
      </c>
      <c r="T383" s="13">
        <v>0.14000000000000001</v>
      </c>
      <c r="U383" s="13">
        <v>3.3000000000000002E-2</v>
      </c>
      <c r="V383" s="15">
        <v>0.16839999999999999</v>
      </c>
    </row>
    <row r="384" spans="1:22" ht="14.25" customHeight="1" x14ac:dyDescent="0.35">
      <c r="A384" s="6" t="s">
        <v>47</v>
      </c>
      <c r="B384" s="7" t="s">
        <v>48</v>
      </c>
      <c r="C384" s="7" t="s">
        <v>357</v>
      </c>
      <c r="D384" s="7" t="s">
        <v>358</v>
      </c>
      <c r="E384" s="7" t="s">
        <v>359</v>
      </c>
      <c r="F384" s="7" t="s">
        <v>360</v>
      </c>
      <c r="G384" s="7" t="s">
        <v>86</v>
      </c>
      <c r="H384" s="7" t="s">
        <v>65</v>
      </c>
      <c r="I384" s="10">
        <v>0</v>
      </c>
      <c r="J384" s="7" t="s">
        <v>361</v>
      </c>
      <c r="K384" s="11">
        <v>0</v>
      </c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1.5899999999999999E-4</v>
      </c>
      <c r="S384" s="11">
        <v>1.54E-4</v>
      </c>
      <c r="T384" s="13">
        <v>0.14000000000000001</v>
      </c>
      <c r="U384" s="13">
        <v>3.3000000000000002E-2</v>
      </c>
      <c r="V384" s="15">
        <v>0.16839999999999999</v>
      </c>
    </row>
    <row r="385" spans="1:22" ht="14.25" customHeight="1" x14ac:dyDescent="0.35">
      <c r="A385" s="6" t="s">
        <v>40</v>
      </c>
      <c r="B385" s="7" t="s">
        <v>41</v>
      </c>
      <c r="C385" s="7" t="s">
        <v>357</v>
      </c>
      <c r="D385" s="7" t="s">
        <v>358</v>
      </c>
      <c r="E385" s="7" t="s">
        <v>359</v>
      </c>
      <c r="F385" s="7" t="s">
        <v>360</v>
      </c>
      <c r="G385" s="7" t="s">
        <v>86</v>
      </c>
      <c r="H385" s="7" t="s">
        <v>65</v>
      </c>
      <c r="I385" s="10">
        <v>0</v>
      </c>
      <c r="J385" s="7" t="s">
        <v>361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8.2000000000000001E-5</v>
      </c>
      <c r="S385" s="11">
        <v>7.8999999999999996E-5</v>
      </c>
      <c r="T385" s="13">
        <v>0.14000000000000001</v>
      </c>
      <c r="U385" s="13">
        <v>3.3000000000000002E-2</v>
      </c>
      <c r="V385" s="15">
        <v>0.16839999999999999</v>
      </c>
    </row>
    <row r="386" spans="1:22" ht="14.25" customHeight="1" x14ac:dyDescent="0.35">
      <c r="A386" s="6" t="s">
        <v>209</v>
      </c>
      <c r="B386" s="7" t="s">
        <v>210</v>
      </c>
      <c r="C386" s="7" t="s">
        <v>357</v>
      </c>
      <c r="D386" s="7" t="s">
        <v>358</v>
      </c>
      <c r="E386" s="7" t="s">
        <v>359</v>
      </c>
      <c r="F386" s="7" t="s">
        <v>360</v>
      </c>
      <c r="G386" s="7" t="s">
        <v>102</v>
      </c>
      <c r="H386" s="7" t="s">
        <v>65</v>
      </c>
      <c r="I386" s="10">
        <v>0</v>
      </c>
      <c r="J386" s="7" t="s">
        <v>361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8.9099999999999997E-4</v>
      </c>
      <c r="S386" s="11">
        <v>8.6200000000000003E-4</v>
      </c>
      <c r="T386" s="13">
        <v>0.14000000000000001</v>
      </c>
      <c r="U386" s="13">
        <v>3.3000000000000002E-2</v>
      </c>
      <c r="V386" s="15">
        <v>0.16839999999999999</v>
      </c>
    </row>
    <row r="387" spans="1:22" ht="14.25" customHeight="1" x14ac:dyDescent="0.35">
      <c r="A387" s="6" t="s">
        <v>49</v>
      </c>
      <c r="B387" s="7" t="s">
        <v>50</v>
      </c>
      <c r="C387" s="7" t="s">
        <v>357</v>
      </c>
      <c r="D387" s="7" t="s">
        <v>358</v>
      </c>
      <c r="E387" s="7" t="s">
        <v>359</v>
      </c>
      <c r="F387" s="7" t="s">
        <v>360</v>
      </c>
      <c r="G387" s="7" t="s">
        <v>86</v>
      </c>
      <c r="H387" s="7" t="s">
        <v>65</v>
      </c>
      <c r="I387" s="10">
        <v>0</v>
      </c>
      <c r="J387" s="7" t="s">
        <v>361</v>
      </c>
      <c r="K387" s="11">
        <v>0</v>
      </c>
      <c r="L387" s="11">
        <v>0</v>
      </c>
      <c r="M387" s="11">
        <v>0</v>
      </c>
      <c r="N387" s="11">
        <v>0</v>
      </c>
      <c r="O387" s="11">
        <v>0</v>
      </c>
      <c r="P387" s="11">
        <v>0</v>
      </c>
      <c r="Q387" s="11">
        <v>0</v>
      </c>
      <c r="R387" s="11">
        <v>9.9999999999999995E-7</v>
      </c>
      <c r="S387" s="11">
        <v>9.9999999999999995E-7</v>
      </c>
      <c r="T387" s="13">
        <v>0.14000000000000001</v>
      </c>
      <c r="U387" s="13">
        <v>3.3000000000000002E-2</v>
      </c>
      <c r="V387" s="15">
        <v>0.16839999999999999</v>
      </c>
    </row>
    <row r="388" spans="1:22" ht="14.25" customHeight="1" x14ac:dyDescent="0.35">
      <c r="A388" s="6" t="s">
        <v>47</v>
      </c>
      <c r="B388" s="7" t="s">
        <v>48</v>
      </c>
      <c r="C388" s="7" t="s">
        <v>357</v>
      </c>
      <c r="D388" s="7" t="s">
        <v>358</v>
      </c>
      <c r="E388" s="7" t="s">
        <v>362</v>
      </c>
      <c r="F388" s="7" t="s">
        <v>363</v>
      </c>
      <c r="G388" s="7" t="s">
        <v>251</v>
      </c>
      <c r="H388" s="7" t="s">
        <v>65</v>
      </c>
      <c r="I388" s="10">
        <v>0</v>
      </c>
      <c r="J388" s="7" t="s">
        <v>215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3">
        <v>0.14000000000000001</v>
      </c>
      <c r="U388" s="13">
        <v>3.3000000000000002E-2</v>
      </c>
      <c r="V388" s="15">
        <v>0.16839999999999999</v>
      </c>
    </row>
    <row r="389" spans="1:22" ht="14.25" customHeight="1" x14ac:dyDescent="0.35">
      <c r="A389" s="6" t="s">
        <v>49</v>
      </c>
      <c r="B389" s="7" t="s">
        <v>50</v>
      </c>
      <c r="C389" s="7" t="s">
        <v>357</v>
      </c>
      <c r="D389" s="7" t="s">
        <v>358</v>
      </c>
      <c r="E389" s="7" t="s">
        <v>362</v>
      </c>
      <c r="F389" s="7" t="s">
        <v>363</v>
      </c>
      <c r="G389" s="7" t="s">
        <v>86</v>
      </c>
      <c r="H389" s="7" t="s">
        <v>65</v>
      </c>
      <c r="I389" s="10">
        <v>0</v>
      </c>
      <c r="J389" s="7" t="s">
        <v>215</v>
      </c>
      <c r="K389" s="11">
        <v>0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3">
        <v>0.14000000000000001</v>
      </c>
      <c r="U389" s="13">
        <v>3.3000000000000002E-2</v>
      </c>
      <c r="V389" s="15">
        <v>0.16839999999999999</v>
      </c>
    </row>
    <row r="390" spans="1:22" ht="14.25" customHeight="1" x14ac:dyDescent="0.35">
      <c r="A390" s="6" t="s">
        <v>40</v>
      </c>
      <c r="B390" s="7" t="s">
        <v>41</v>
      </c>
      <c r="C390" s="7" t="s">
        <v>357</v>
      </c>
      <c r="D390" s="7" t="s">
        <v>358</v>
      </c>
      <c r="E390" s="7" t="s">
        <v>362</v>
      </c>
      <c r="F390" s="7" t="s">
        <v>363</v>
      </c>
      <c r="G390" s="7" t="s">
        <v>73</v>
      </c>
      <c r="H390" s="7" t="s">
        <v>119</v>
      </c>
      <c r="I390" s="10">
        <v>0</v>
      </c>
      <c r="J390" s="7" t="s">
        <v>215</v>
      </c>
      <c r="K390" s="11">
        <v>0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3">
        <v>0.14000000000000001</v>
      </c>
      <c r="U390" s="13">
        <v>3.3000000000000002E-2</v>
      </c>
      <c r="V390" s="15">
        <v>0.16839999999999999</v>
      </c>
    </row>
    <row r="391" spans="1:22" ht="14.25" customHeight="1" x14ac:dyDescent="0.35">
      <c r="A391" s="6" t="s">
        <v>217</v>
      </c>
      <c r="B391" s="7" t="s">
        <v>218</v>
      </c>
      <c r="C391" s="7" t="s">
        <v>357</v>
      </c>
      <c r="D391" s="7" t="s">
        <v>358</v>
      </c>
      <c r="E391" s="7" t="s">
        <v>362</v>
      </c>
      <c r="F391" s="7" t="s">
        <v>363</v>
      </c>
      <c r="G391" s="7" t="s">
        <v>86</v>
      </c>
      <c r="H391" s="7" t="s">
        <v>65</v>
      </c>
      <c r="I391" s="10">
        <v>1E-3</v>
      </c>
      <c r="J391" s="7" t="s">
        <v>215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3">
        <v>0.14000000000000001</v>
      </c>
      <c r="U391" s="13">
        <v>3.3000000000000002E-2</v>
      </c>
      <c r="V391" s="15">
        <v>0.16839999999999999</v>
      </c>
    </row>
    <row r="392" spans="1:22" ht="14.25" customHeight="1" x14ac:dyDescent="0.35">
      <c r="A392" s="6" t="s">
        <v>209</v>
      </c>
      <c r="B392" s="7" t="s">
        <v>210</v>
      </c>
      <c r="C392" s="7" t="s">
        <v>357</v>
      </c>
      <c r="D392" s="7" t="s">
        <v>358</v>
      </c>
      <c r="E392" s="7" t="s">
        <v>362</v>
      </c>
      <c r="F392" s="7" t="s">
        <v>363</v>
      </c>
      <c r="G392" s="7" t="s">
        <v>159</v>
      </c>
      <c r="H392" s="7" t="s">
        <v>111</v>
      </c>
      <c r="I392" s="10">
        <v>0</v>
      </c>
      <c r="J392" s="7" t="s">
        <v>215</v>
      </c>
      <c r="K392" s="11">
        <v>0</v>
      </c>
      <c r="L392" s="11">
        <v>0</v>
      </c>
      <c r="M392" s="11">
        <v>0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3">
        <v>0.14000000000000001</v>
      </c>
      <c r="U392" s="13">
        <v>3.3000000000000002E-2</v>
      </c>
      <c r="V392" s="15">
        <v>0.16839999999999999</v>
      </c>
    </row>
    <row r="393" spans="1:22" ht="14.25" customHeight="1" x14ac:dyDescent="0.35">
      <c r="A393" s="6" t="s">
        <v>209</v>
      </c>
      <c r="B393" s="7" t="s">
        <v>210</v>
      </c>
      <c r="C393" s="7" t="s">
        <v>364</v>
      </c>
      <c r="D393" s="7" t="s">
        <v>365</v>
      </c>
      <c r="E393" s="7" t="s">
        <v>366</v>
      </c>
      <c r="F393" s="7" t="s">
        <v>367</v>
      </c>
      <c r="G393" s="7" t="s">
        <v>102</v>
      </c>
      <c r="H393" s="7" t="s">
        <v>65</v>
      </c>
      <c r="I393" s="10">
        <v>503.49200000000002</v>
      </c>
      <c r="J393" s="7" t="s">
        <v>265</v>
      </c>
      <c r="K393" s="11">
        <v>0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0</v>
      </c>
      <c r="R393" s="11">
        <v>50.348992000000003</v>
      </c>
      <c r="S393" s="11">
        <v>50.348992000000003</v>
      </c>
      <c r="T393" s="13">
        <v>0</v>
      </c>
      <c r="U393" s="13">
        <v>0</v>
      </c>
      <c r="V393" s="15">
        <v>0</v>
      </c>
    </row>
    <row r="394" spans="1:22" ht="14.25" customHeight="1" x14ac:dyDescent="0.35">
      <c r="A394" s="6" t="s">
        <v>47</v>
      </c>
      <c r="B394" s="7" t="s">
        <v>48</v>
      </c>
      <c r="C394" s="7" t="s">
        <v>364</v>
      </c>
      <c r="D394" s="7" t="s">
        <v>365</v>
      </c>
      <c r="E394" s="7" t="s">
        <v>366</v>
      </c>
      <c r="F394" s="7" t="s">
        <v>367</v>
      </c>
      <c r="G394" s="7" t="s">
        <v>64</v>
      </c>
      <c r="H394" s="7" t="s">
        <v>65</v>
      </c>
      <c r="I394" s="10">
        <v>742.99800000000005</v>
      </c>
      <c r="J394" s="7" t="s">
        <v>265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74.299425999999997</v>
      </c>
      <c r="S394" s="11">
        <v>74.299425999999997</v>
      </c>
      <c r="T394" s="13">
        <v>0</v>
      </c>
      <c r="U394" s="13">
        <v>0</v>
      </c>
      <c r="V394" s="15">
        <v>0</v>
      </c>
    </row>
    <row r="395" spans="1:22" ht="14.25" customHeight="1" x14ac:dyDescent="0.35">
      <c r="A395" s="6" t="s">
        <v>49</v>
      </c>
      <c r="B395" s="7" t="s">
        <v>50</v>
      </c>
      <c r="C395" s="7" t="s">
        <v>364</v>
      </c>
      <c r="D395" s="7" t="s">
        <v>365</v>
      </c>
      <c r="E395" s="7" t="s">
        <v>366</v>
      </c>
      <c r="F395" s="7" t="s">
        <v>367</v>
      </c>
      <c r="G395" s="7" t="s">
        <v>64</v>
      </c>
      <c r="H395" s="7" t="s">
        <v>65</v>
      </c>
      <c r="I395" s="10">
        <v>742.99900000000002</v>
      </c>
      <c r="J395" s="7" t="s">
        <v>265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74.299508000000003</v>
      </c>
      <c r="S395" s="11">
        <v>74.299508000000003</v>
      </c>
      <c r="T395" s="13">
        <v>0</v>
      </c>
      <c r="U395" s="13">
        <v>0</v>
      </c>
      <c r="V395" s="15">
        <v>0</v>
      </c>
    </row>
    <row r="396" spans="1:22" ht="14.25" customHeight="1" x14ac:dyDescent="0.35">
      <c r="A396" s="6" t="s">
        <v>40</v>
      </c>
      <c r="B396" s="7" t="s">
        <v>41</v>
      </c>
      <c r="C396" s="7" t="s">
        <v>364</v>
      </c>
      <c r="D396" s="7" t="s">
        <v>365</v>
      </c>
      <c r="E396" s="7" t="s">
        <v>366</v>
      </c>
      <c r="F396" s="7" t="s">
        <v>367</v>
      </c>
      <c r="G396" s="7" t="s">
        <v>64</v>
      </c>
      <c r="H396" s="7" t="s">
        <v>65</v>
      </c>
      <c r="I396" s="10">
        <v>742.99800000000005</v>
      </c>
      <c r="J396" s="7" t="s">
        <v>265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74.299453999999997</v>
      </c>
      <c r="S396" s="11">
        <v>74.299453999999997</v>
      </c>
      <c r="T396" s="13">
        <v>0</v>
      </c>
      <c r="U396" s="13">
        <v>0</v>
      </c>
      <c r="V396" s="15">
        <v>0</v>
      </c>
    </row>
    <row r="397" spans="1:22" ht="14.25" customHeight="1" x14ac:dyDescent="0.35">
      <c r="A397" s="6" t="s">
        <v>217</v>
      </c>
      <c r="B397" s="7" t="s">
        <v>218</v>
      </c>
      <c r="C397" s="7" t="s">
        <v>364</v>
      </c>
      <c r="D397" s="7" t="s">
        <v>365</v>
      </c>
      <c r="E397" s="7" t="s">
        <v>366</v>
      </c>
      <c r="F397" s="7" t="s">
        <v>367</v>
      </c>
      <c r="G397" s="7" t="s">
        <v>64</v>
      </c>
      <c r="H397" s="7" t="s">
        <v>65</v>
      </c>
      <c r="I397" s="10">
        <v>742.99900000000002</v>
      </c>
      <c r="J397" s="7" t="s">
        <v>265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74.299509</v>
      </c>
      <c r="S397" s="11">
        <v>74.299509</v>
      </c>
      <c r="T397" s="13">
        <v>0</v>
      </c>
      <c r="U397" s="13">
        <v>0</v>
      </c>
      <c r="V397" s="15">
        <v>0</v>
      </c>
    </row>
    <row r="398" spans="1:22" ht="14.25" customHeight="1" x14ac:dyDescent="0.35">
      <c r="A398" s="6" t="s">
        <v>47</v>
      </c>
      <c r="B398" s="7" t="s">
        <v>48</v>
      </c>
      <c r="C398" s="7" t="s">
        <v>368</v>
      </c>
      <c r="D398" s="7" t="s">
        <v>369</v>
      </c>
      <c r="E398" s="7" t="s">
        <v>370</v>
      </c>
      <c r="F398" s="7" t="s">
        <v>371</v>
      </c>
      <c r="G398" s="7" t="s">
        <v>180</v>
      </c>
      <c r="H398" s="7" t="s">
        <v>65</v>
      </c>
      <c r="I398" s="10">
        <v>452.084</v>
      </c>
      <c r="J398" s="7" t="s">
        <v>215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3">
        <v>0.14000000000000001</v>
      </c>
      <c r="U398" s="13">
        <v>3.3000000000000002E-2</v>
      </c>
      <c r="V398" s="15">
        <v>0.16839999999999999</v>
      </c>
    </row>
    <row r="399" spans="1:22" ht="14.25" customHeight="1" x14ac:dyDescent="0.35">
      <c r="A399" s="6" t="s">
        <v>40</v>
      </c>
      <c r="B399" s="7" t="s">
        <v>41</v>
      </c>
      <c r="C399" s="7" t="s">
        <v>368</v>
      </c>
      <c r="D399" s="7" t="s">
        <v>369</v>
      </c>
      <c r="E399" s="7" t="s">
        <v>370</v>
      </c>
      <c r="F399" s="7" t="s">
        <v>371</v>
      </c>
      <c r="G399" s="7" t="s">
        <v>180</v>
      </c>
      <c r="H399" s="7" t="s">
        <v>65</v>
      </c>
      <c r="I399" s="10">
        <v>496.96899999999999</v>
      </c>
      <c r="J399" s="7" t="s">
        <v>215</v>
      </c>
      <c r="K399" s="11">
        <v>0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13">
        <v>0.14000000000000001</v>
      </c>
      <c r="U399" s="13">
        <v>3.3000000000000002E-2</v>
      </c>
      <c r="V399" s="15">
        <v>0.16839999999999999</v>
      </c>
    </row>
    <row r="400" spans="1:22" ht="14.25" customHeight="1" x14ac:dyDescent="0.35">
      <c r="A400" s="6" t="s">
        <v>49</v>
      </c>
      <c r="B400" s="7" t="s">
        <v>50</v>
      </c>
      <c r="C400" s="7" t="s">
        <v>368</v>
      </c>
      <c r="D400" s="7" t="s">
        <v>369</v>
      </c>
      <c r="E400" s="7" t="s">
        <v>370</v>
      </c>
      <c r="F400" s="7" t="s">
        <v>371</v>
      </c>
      <c r="G400" s="7" t="s">
        <v>180</v>
      </c>
      <c r="H400" s="7" t="s">
        <v>65</v>
      </c>
      <c r="I400" s="10">
        <v>430.35700000000003</v>
      </c>
      <c r="J400" s="7" t="s">
        <v>215</v>
      </c>
      <c r="K400" s="11">
        <v>0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0</v>
      </c>
      <c r="T400" s="13">
        <v>0.14000000000000001</v>
      </c>
      <c r="U400" s="13">
        <v>3.3000000000000002E-2</v>
      </c>
      <c r="V400" s="15">
        <v>0.16839999999999999</v>
      </c>
    </row>
    <row r="401" spans="1:22" ht="14.25" customHeight="1" x14ac:dyDescent="0.35">
      <c r="A401" s="6" t="s">
        <v>217</v>
      </c>
      <c r="B401" s="7" t="s">
        <v>218</v>
      </c>
      <c r="C401" s="7" t="s">
        <v>368</v>
      </c>
      <c r="D401" s="7" t="s">
        <v>369</v>
      </c>
      <c r="E401" s="7" t="s">
        <v>370</v>
      </c>
      <c r="F401" s="7" t="s">
        <v>371</v>
      </c>
      <c r="G401" s="7" t="s">
        <v>86</v>
      </c>
      <c r="H401" s="7" t="s">
        <v>65</v>
      </c>
      <c r="I401" s="10">
        <v>231.19900000000001</v>
      </c>
      <c r="J401" s="7" t="s">
        <v>215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3">
        <v>0.14000000000000001</v>
      </c>
      <c r="U401" s="13">
        <v>3.3000000000000002E-2</v>
      </c>
      <c r="V401" s="15">
        <v>0.16839999999999999</v>
      </c>
    </row>
    <row r="402" spans="1:22" ht="14.25" customHeight="1" x14ac:dyDescent="0.35">
      <c r="A402" s="6" t="s">
        <v>209</v>
      </c>
      <c r="B402" s="7" t="s">
        <v>210</v>
      </c>
      <c r="C402" s="7" t="s">
        <v>368</v>
      </c>
      <c r="D402" s="7" t="s">
        <v>369</v>
      </c>
      <c r="E402" s="7" t="s">
        <v>370</v>
      </c>
      <c r="F402" s="7" t="s">
        <v>371</v>
      </c>
      <c r="G402" s="7" t="s">
        <v>102</v>
      </c>
      <c r="H402" s="7" t="s">
        <v>65</v>
      </c>
      <c r="I402" s="10">
        <v>48.103000000000002</v>
      </c>
      <c r="J402" s="7" t="s">
        <v>215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>
        <v>0</v>
      </c>
      <c r="T402" s="13">
        <v>0.14000000000000001</v>
      </c>
      <c r="U402" s="13">
        <v>3.3000000000000002E-2</v>
      </c>
      <c r="V402" s="15">
        <v>0.16839999999999999</v>
      </c>
    </row>
    <row r="403" spans="1:22" ht="14.25" customHeight="1" x14ac:dyDescent="0.35">
      <c r="A403" s="6" t="s">
        <v>209</v>
      </c>
      <c r="B403" s="7" t="s">
        <v>210</v>
      </c>
      <c r="C403" s="7" t="s">
        <v>368</v>
      </c>
      <c r="D403" s="7" t="s">
        <v>369</v>
      </c>
      <c r="E403" s="7" t="s">
        <v>372</v>
      </c>
      <c r="F403" s="7" t="s">
        <v>373</v>
      </c>
      <c r="G403" s="7" t="s">
        <v>159</v>
      </c>
      <c r="H403" s="7" t="s">
        <v>82</v>
      </c>
      <c r="I403" s="10">
        <v>8.0000000000000002E-3</v>
      </c>
      <c r="J403" s="7" t="s">
        <v>215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5.0000000000000002E-5</v>
      </c>
      <c r="S403" s="11">
        <v>4.8000000000000001E-5</v>
      </c>
      <c r="T403" s="13">
        <v>0.14000000000000001</v>
      </c>
      <c r="U403" s="13">
        <v>3.3000000000000002E-2</v>
      </c>
      <c r="V403" s="15">
        <v>0.16839999999999999</v>
      </c>
    </row>
    <row r="404" spans="1:22" ht="14.25" customHeight="1" x14ac:dyDescent="0.35">
      <c r="A404" s="6" t="s">
        <v>49</v>
      </c>
      <c r="B404" s="7" t="s">
        <v>50</v>
      </c>
      <c r="C404" s="7" t="s">
        <v>368</v>
      </c>
      <c r="D404" s="7" t="s">
        <v>369</v>
      </c>
      <c r="E404" s="7" t="s">
        <v>372</v>
      </c>
      <c r="F404" s="7" t="s">
        <v>373</v>
      </c>
      <c r="G404" s="7" t="s">
        <v>86</v>
      </c>
      <c r="H404" s="7" t="s">
        <v>65</v>
      </c>
      <c r="I404" s="10">
        <v>5.0000000000000001E-3</v>
      </c>
      <c r="J404" s="7" t="s">
        <v>215</v>
      </c>
      <c r="K404" s="11">
        <v>0</v>
      </c>
      <c r="L404" s="11">
        <v>0</v>
      </c>
      <c r="M404" s="11">
        <v>0</v>
      </c>
      <c r="N404" s="11">
        <v>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3">
        <v>0.14000000000000001</v>
      </c>
      <c r="U404" s="13">
        <v>3.3000000000000002E-2</v>
      </c>
      <c r="V404" s="15">
        <v>0.16839999999999999</v>
      </c>
    </row>
    <row r="405" spans="1:22" ht="14.25" customHeight="1" x14ac:dyDescent="0.35">
      <c r="A405" s="6" t="s">
        <v>47</v>
      </c>
      <c r="B405" s="7" t="s">
        <v>48</v>
      </c>
      <c r="C405" s="7" t="s">
        <v>368</v>
      </c>
      <c r="D405" s="7" t="s">
        <v>369</v>
      </c>
      <c r="E405" s="7" t="s">
        <v>372</v>
      </c>
      <c r="F405" s="7" t="s">
        <v>373</v>
      </c>
      <c r="G405" s="7" t="s">
        <v>86</v>
      </c>
      <c r="H405" s="7" t="s">
        <v>65</v>
      </c>
      <c r="I405" s="10">
        <v>0.23499999999999999</v>
      </c>
      <c r="J405" s="7" t="s">
        <v>215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1.5430000000000001E-3</v>
      </c>
      <c r="S405" s="11">
        <v>1.4920000000000001E-3</v>
      </c>
      <c r="T405" s="13">
        <v>0.14000000000000001</v>
      </c>
      <c r="U405" s="13">
        <v>3.3000000000000002E-2</v>
      </c>
      <c r="V405" s="15">
        <v>0.16839999999999999</v>
      </c>
    </row>
    <row r="406" spans="1:22" ht="14.25" customHeight="1" x14ac:dyDescent="0.35">
      <c r="A406" s="6" t="s">
        <v>40</v>
      </c>
      <c r="B406" s="7" t="s">
        <v>41</v>
      </c>
      <c r="C406" s="7" t="s">
        <v>368</v>
      </c>
      <c r="D406" s="7" t="s">
        <v>369</v>
      </c>
      <c r="E406" s="7" t="s">
        <v>372</v>
      </c>
      <c r="F406" s="7" t="s">
        <v>373</v>
      </c>
      <c r="G406" s="7" t="s">
        <v>76</v>
      </c>
      <c r="H406" s="7" t="s">
        <v>59</v>
      </c>
      <c r="I406" s="10">
        <v>1E-3</v>
      </c>
      <c r="J406" s="7" t="s">
        <v>215</v>
      </c>
      <c r="K406" s="11">
        <v>0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3">
        <v>0.14000000000000001</v>
      </c>
      <c r="U406" s="13">
        <v>3.3000000000000002E-2</v>
      </c>
      <c r="V406" s="15">
        <v>0.16839999999999999</v>
      </c>
    </row>
    <row r="407" spans="1:22" ht="14.25" customHeight="1" x14ac:dyDescent="0.35">
      <c r="A407" s="6" t="s">
        <v>217</v>
      </c>
      <c r="B407" s="7" t="s">
        <v>218</v>
      </c>
      <c r="C407" s="7" t="s">
        <v>368</v>
      </c>
      <c r="D407" s="7" t="s">
        <v>369</v>
      </c>
      <c r="E407" s="7" t="s">
        <v>372</v>
      </c>
      <c r="F407" s="7" t="s">
        <v>373</v>
      </c>
      <c r="G407" s="7" t="s">
        <v>86</v>
      </c>
      <c r="H407" s="7" t="s">
        <v>65</v>
      </c>
      <c r="I407" s="10">
        <v>8.3000000000000004E-2</v>
      </c>
      <c r="J407" s="7" t="s">
        <v>215</v>
      </c>
      <c r="K407" s="11">
        <v>0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5.0000000000000001E-4</v>
      </c>
      <c r="S407" s="11">
        <v>4.84E-4</v>
      </c>
      <c r="T407" s="13">
        <v>0.14000000000000001</v>
      </c>
      <c r="U407" s="13">
        <v>3.3000000000000002E-2</v>
      </c>
      <c r="V407" s="15">
        <v>0.16839999999999999</v>
      </c>
    </row>
    <row r="408" spans="1:22" ht="14.25" customHeight="1" x14ac:dyDescent="0.35">
      <c r="A408" s="6" t="s">
        <v>47</v>
      </c>
      <c r="B408" s="7" t="s">
        <v>48</v>
      </c>
      <c r="C408" s="7" t="s">
        <v>368</v>
      </c>
      <c r="D408" s="7" t="s">
        <v>369</v>
      </c>
      <c r="E408" s="7" t="s">
        <v>374</v>
      </c>
      <c r="F408" s="7" t="s">
        <v>375</v>
      </c>
      <c r="G408" s="7" t="s">
        <v>86</v>
      </c>
      <c r="H408" s="7" t="s">
        <v>65</v>
      </c>
      <c r="I408" s="10">
        <v>2.2069999999999999</v>
      </c>
      <c r="J408" s="7" t="s">
        <v>215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1.5074000000000001E-2</v>
      </c>
      <c r="S408" s="11">
        <v>1.4577E-2</v>
      </c>
      <c r="T408" s="13">
        <v>0.14000000000000001</v>
      </c>
      <c r="U408" s="13">
        <v>3.3000000000000002E-2</v>
      </c>
      <c r="V408" s="15">
        <v>0.16839999999999999</v>
      </c>
    </row>
    <row r="409" spans="1:22" ht="14.25" customHeight="1" x14ac:dyDescent="0.35">
      <c r="A409" s="6" t="s">
        <v>209</v>
      </c>
      <c r="B409" s="7" t="s">
        <v>210</v>
      </c>
      <c r="C409" s="7" t="s">
        <v>368</v>
      </c>
      <c r="D409" s="7" t="s">
        <v>369</v>
      </c>
      <c r="E409" s="7" t="s">
        <v>374</v>
      </c>
      <c r="F409" s="7" t="s">
        <v>375</v>
      </c>
      <c r="G409" s="7" t="s">
        <v>159</v>
      </c>
      <c r="H409" s="7" t="s">
        <v>82</v>
      </c>
      <c r="I409" s="10">
        <v>0</v>
      </c>
      <c r="J409" s="7" t="s">
        <v>215</v>
      </c>
      <c r="K409" s="11">
        <v>0</v>
      </c>
      <c r="L409" s="11">
        <v>0</v>
      </c>
      <c r="M409" s="11">
        <v>0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13">
        <v>0.14000000000000001</v>
      </c>
      <c r="U409" s="13">
        <v>3.3000000000000002E-2</v>
      </c>
      <c r="V409" s="15">
        <v>0.16839999999999999</v>
      </c>
    </row>
    <row r="410" spans="1:22" ht="14.25" customHeight="1" x14ac:dyDescent="0.35">
      <c r="A410" s="6" t="s">
        <v>40</v>
      </c>
      <c r="B410" s="7" t="s">
        <v>41</v>
      </c>
      <c r="C410" s="7" t="s">
        <v>368</v>
      </c>
      <c r="D410" s="7" t="s">
        <v>369</v>
      </c>
      <c r="E410" s="7" t="s">
        <v>374</v>
      </c>
      <c r="F410" s="7" t="s">
        <v>375</v>
      </c>
      <c r="G410" s="7" t="s">
        <v>76</v>
      </c>
      <c r="H410" s="7" t="s">
        <v>59</v>
      </c>
      <c r="I410" s="10">
        <v>8.0000000000000002E-3</v>
      </c>
      <c r="J410" s="7" t="s">
        <v>215</v>
      </c>
      <c r="K410" s="11">
        <v>0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3.1999999999999999E-5</v>
      </c>
      <c r="S410" s="11">
        <v>3.1000000000000001E-5</v>
      </c>
      <c r="T410" s="13">
        <v>0.14000000000000001</v>
      </c>
      <c r="U410" s="13">
        <v>3.3000000000000002E-2</v>
      </c>
      <c r="V410" s="15">
        <v>0.16839999999999999</v>
      </c>
    </row>
    <row r="411" spans="1:22" ht="14.25" customHeight="1" x14ac:dyDescent="0.35">
      <c r="A411" s="6" t="s">
        <v>49</v>
      </c>
      <c r="B411" s="7" t="s">
        <v>50</v>
      </c>
      <c r="C411" s="7" t="s">
        <v>368</v>
      </c>
      <c r="D411" s="7" t="s">
        <v>369</v>
      </c>
      <c r="E411" s="7" t="s">
        <v>374</v>
      </c>
      <c r="F411" s="7" t="s">
        <v>375</v>
      </c>
      <c r="G411" s="7" t="s">
        <v>86</v>
      </c>
      <c r="H411" s="7" t="s">
        <v>65</v>
      </c>
      <c r="I411" s="10">
        <v>3.5999999999999997E-2</v>
      </c>
      <c r="J411" s="7" t="s">
        <v>215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7.9999999999999996E-6</v>
      </c>
      <c r="S411" s="11">
        <v>7.9999999999999996E-6</v>
      </c>
      <c r="T411" s="13">
        <v>0.14000000000000001</v>
      </c>
      <c r="U411" s="13">
        <v>3.3000000000000002E-2</v>
      </c>
      <c r="V411" s="15">
        <v>0.16839999999999999</v>
      </c>
    </row>
    <row r="412" spans="1:22" ht="14.25" customHeight="1" x14ac:dyDescent="0.35">
      <c r="A412" s="6" t="s">
        <v>217</v>
      </c>
      <c r="B412" s="7" t="s">
        <v>218</v>
      </c>
      <c r="C412" s="7" t="s">
        <v>368</v>
      </c>
      <c r="D412" s="7" t="s">
        <v>369</v>
      </c>
      <c r="E412" s="7" t="s">
        <v>374</v>
      </c>
      <c r="F412" s="7" t="s">
        <v>375</v>
      </c>
      <c r="G412" s="7" t="s">
        <v>86</v>
      </c>
      <c r="H412" s="7" t="s">
        <v>65</v>
      </c>
      <c r="I412" s="10">
        <v>6.0000000000000001E-3</v>
      </c>
      <c r="J412" s="7" t="s">
        <v>215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3.0000000000000001E-6</v>
      </c>
      <c r="S412" s="11">
        <v>3.0000000000000001E-6</v>
      </c>
      <c r="T412" s="13">
        <v>0.14000000000000001</v>
      </c>
      <c r="U412" s="13">
        <v>3.3000000000000002E-2</v>
      </c>
      <c r="V412" s="15">
        <v>0.16839999999999999</v>
      </c>
    </row>
    <row r="413" spans="1:22" ht="14.25" customHeight="1" x14ac:dyDescent="0.35">
      <c r="A413" s="6" t="s">
        <v>217</v>
      </c>
      <c r="B413" s="7" t="s">
        <v>218</v>
      </c>
      <c r="C413" s="7" t="s">
        <v>368</v>
      </c>
      <c r="D413" s="7" t="s">
        <v>369</v>
      </c>
      <c r="E413" s="7" t="s">
        <v>376</v>
      </c>
      <c r="F413" s="7" t="s">
        <v>377</v>
      </c>
      <c r="G413" s="7" t="s">
        <v>86</v>
      </c>
      <c r="H413" s="7" t="s">
        <v>65</v>
      </c>
      <c r="I413" s="10">
        <v>1174</v>
      </c>
      <c r="J413" s="7" t="s">
        <v>46</v>
      </c>
      <c r="K413" s="11">
        <v>0</v>
      </c>
      <c r="L413" s="11">
        <v>0</v>
      </c>
      <c r="M413" s="11">
        <v>0</v>
      </c>
      <c r="N413" s="11">
        <v>-1.1106039999999999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3">
        <v>0.14000000000000001</v>
      </c>
      <c r="U413" s="13">
        <v>3.3000000000000002E-2</v>
      </c>
      <c r="V413" s="15">
        <v>0.16839999999999999</v>
      </c>
    </row>
    <row r="414" spans="1:22" ht="14.25" customHeight="1" x14ac:dyDescent="0.35">
      <c r="A414" s="6" t="s">
        <v>47</v>
      </c>
      <c r="B414" s="7" t="s">
        <v>48</v>
      </c>
      <c r="C414" s="7" t="s">
        <v>368</v>
      </c>
      <c r="D414" s="7" t="s">
        <v>369</v>
      </c>
      <c r="E414" s="7" t="s">
        <v>376</v>
      </c>
      <c r="F414" s="7" t="s">
        <v>377</v>
      </c>
      <c r="G414" s="7" t="s">
        <v>86</v>
      </c>
      <c r="H414" s="7" t="s">
        <v>65</v>
      </c>
      <c r="I414" s="10">
        <v>2384</v>
      </c>
      <c r="J414" s="7" t="s">
        <v>46</v>
      </c>
      <c r="K414" s="11">
        <v>0</v>
      </c>
      <c r="L414" s="11">
        <v>0</v>
      </c>
      <c r="M414" s="11">
        <v>0</v>
      </c>
      <c r="N414" s="11">
        <v>-2.2552639999999999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3">
        <v>0.14000000000000001</v>
      </c>
      <c r="U414" s="13">
        <v>3.3000000000000002E-2</v>
      </c>
      <c r="V414" s="15">
        <v>0.16839999999999999</v>
      </c>
    </row>
    <row r="415" spans="1:22" ht="14.25" customHeight="1" x14ac:dyDescent="0.35">
      <c r="A415" s="6" t="s">
        <v>209</v>
      </c>
      <c r="B415" s="7" t="s">
        <v>210</v>
      </c>
      <c r="C415" s="7" t="s">
        <v>368</v>
      </c>
      <c r="D415" s="7" t="s">
        <v>369</v>
      </c>
      <c r="E415" s="7" t="s">
        <v>376</v>
      </c>
      <c r="F415" s="7" t="s">
        <v>377</v>
      </c>
      <c r="G415" s="7" t="s">
        <v>102</v>
      </c>
      <c r="H415" s="7" t="s">
        <v>65</v>
      </c>
      <c r="I415" s="10">
        <v>989</v>
      </c>
      <c r="J415" s="7" t="s">
        <v>46</v>
      </c>
      <c r="K415" s="11">
        <v>0</v>
      </c>
      <c r="L415" s="11">
        <v>0</v>
      </c>
      <c r="M415" s="11">
        <v>0</v>
      </c>
      <c r="N415" s="11">
        <v>-0.93559400000000004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3">
        <v>0.14000000000000001</v>
      </c>
      <c r="U415" s="13">
        <v>3.3000000000000002E-2</v>
      </c>
      <c r="V415" s="15">
        <v>0.16839999999999999</v>
      </c>
    </row>
    <row r="416" spans="1:22" ht="14.25" customHeight="1" x14ac:dyDescent="0.35">
      <c r="A416" s="6" t="s">
        <v>49</v>
      </c>
      <c r="B416" s="7" t="s">
        <v>50</v>
      </c>
      <c r="C416" s="7" t="s">
        <v>368</v>
      </c>
      <c r="D416" s="7" t="s">
        <v>369</v>
      </c>
      <c r="E416" s="7" t="s">
        <v>376</v>
      </c>
      <c r="F416" s="7" t="s">
        <v>377</v>
      </c>
      <c r="G416" s="7" t="s">
        <v>86</v>
      </c>
      <c r="H416" s="7" t="s">
        <v>65</v>
      </c>
      <c r="I416" s="10">
        <v>2229</v>
      </c>
      <c r="J416" s="7" t="s">
        <v>46</v>
      </c>
      <c r="K416" s="11">
        <v>0</v>
      </c>
      <c r="L416" s="11">
        <v>0</v>
      </c>
      <c r="M416" s="11">
        <v>0</v>
      </c>
      <c r="N416" s="11">
        <v>-2.1086339999999999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3">
        <v>0.14000000000000001</v>
      </c>
      <c r="U416" s="13">
        <v>3.3000000000000002E-2</v>
      </c>
      <c r="V416" s="15">
        <v>0.16839999999999999</v>
      </c>
    </row>
    <row r="417" spans="1:22" ht="14.25" customHeight="1" x14ac:dyDescent="0.35">
      <c r="A417" s="6" t="s">
        <v>40</v>
      </c>
      <c r="B417" s="7" t="s">
        <v>41</v>
      </c>
      <c r="C417" s="7" t="s">
        <v>368</v>
      </c>
      <c r="D417" s="7" t="s">
        <v>369</v>
      </c>
      <c r="E417" s="7" t="s">
        <v>376</v>
      </c>
      <c r="F417" s="7" t="s">
        <v>377</v>
      </c>
      <c r="G417" s="7" t="s">
        <v>86</v>
      </c>
      <c r="H417" s="7" t="s">
        <v>65</v>
      </c>
      <c r="I417" s="10">
        <v>2972</v>
      </c>
      <c r="J417" s="7" t="s">
        <v>46</v>
      </c>
      <c r="K417" s="11">
        <v>0</v>
      </c>
      <c r="L417" s="11">
        <v>0</v>
      </c>
      <c r="M417" s="11">
        <v>0</v>
      </c>
      <c r="N417" s="11">
        <v>-2.811512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3">
        <v>0.14000000000000001</v>
      </c>
      <c r="U417" s="13">
        <v>3.3000000000000002E-2</v>
      </c>
      <c r="V417" s="15">
        <v>0.16839999999999999</v>
      </c>
    </row>
    <row r="418" spans="1:22" ht="14.25" customHeight="1" x14ac:dyDescent="0.35">
      <c r="A418" s="6" t="s">
        <v>49</v>
      </c>
      <c r="B418" s="7" t="s">
        <v>50</v>
      </c>
      <c r="C418" s="7" t="s">
        <v>368</v>
      </c>
      <c r="D418" s="7" t="s">
        <v>369</v>
      </c>
      <c r="E418" s="7" t="s">
        <v>378</v>
      </c>
      <c r="F418" s="7" t="s">
        <v>379</v>
      </c>
      <c r="G418" s="7" t="s">
        <v>86</v>
      </c>
      <c r="H418" s="7" t="s">
        <v>65</v>
      </c>
      <c r="I418" s="10">
        <v>2229</v>
      </c>
      <c r="J418" s="7" t="s">
        <v>46</v>
      </c>
      <c r="K418" s="11">
        <v>0</v>
      </c>
      <c r="L418" s="11">
        <v>0</v>
      </c>
      <c r="M418" s="11">
        <v>0</v>
      </c>
      <c r="N418" s="11">
        <v>-1.533552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3">
        <v>0.14000000000000001</v>
      </c>
      <c r="U418" s="13">
        <v>3.3000000000000002E-2</v>
      </c>
      <c r="V418" s="15">
        <v>0.16839999999999999</v>
      </c>
    </row>
    <row r="419" spans="1:22" ht="14.25" customHeight="1" x14ac:dyDescent="0.35">
      <c r="A419" s="6" t="s">
        <v>47</v>
      </c>
      <c r="B419" s="7" t="s">
        <v>48</v>
      </c>
      <c r="C419" s="7" t="s">
        <v>368</v>
      </c>
      <c r="D419" s="7" t="s">
        <v>369</v>
      </c>
      <c r="E419" s="7" t="s">
        <v>378</v>
      </c>
      <c r="F419" s="7" t="s">
        <v>379</v>
      </c>
      <c r="G419" s="7" t="s">
        <v>86</v>
      </c>
      <c r="H419" s="7" t="s">
        <v>65</v>
      </c>
      <c r="I419" s="10">
        <v>2384</v>
      </c>
      <c r="J419" s="7" t="s">
        <v>46</v>
      </c>
      <c r="K419" s="11">
        <v>0</v>
      </c>
      <c r="L419" s="11">
        <v>0</v>
      </c>
      <c r="M419" s="11">
        <v>0</v>
      </c>
      <c r="N419" s="11">
        <v>-1.6401920000000001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3">
        <v>0.14000000000000001</v>
      </c>
      <c r="U419" s="13">
        <v>3.3000000000000002E-2</v>
      </c>
      <c r="V419" s="15">
        <v>0.16839999999999999</v>
      </c>
    </row>
    <row r="420" spans="1:22" ht="14.25" customHeight="1" x14ac:dyDescent="0.35">
      <c r="A420" s="6" t="s">
        <v>40</v>
      </c>
      <c r="B420" s="7" t="s">
        <v>41</v>
      </c>
      <c r="C420" s="7" t="s">
        <v>368</v>
      </c>
      <c r="D420" s="7" t="s">
        <v>369</v>
      </c>
      <c r="E420" s="7" t="s">
        <v>378</v>
      </c>
      <c r="F420" s="7" t="s">
        <v>379</v>
      </c>
      <c r="G420" s="7" t="s">
        <v>86</v>
      </c>
      <c r="H420" s="7" t="s">
        <v>65</v>
      </c>
      <c r="I420" s="10">
        <v>2972</v>
      </c>
      <c r="J420" s="7" t="s">
        <v>46</v>
      </c>
      <c r="K420" s="11">
        <v>0</v>
      </c>
      <c r="L420" s="11">
        <v>0</v>
      </c>
      <c r="M420" s="11">
        <v>0</v>
      </c>
      <c r="N420" s="11">
        <v>-2.0447359999999999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3">
        <v>0.14000000000000001</v>
      </c>
      <c r="U420" s="13">
        <v>3.3000000000000002E-2</v>
      </c>
      <c r="V420" s="15">
        <v>0.16839999999999999</v>
      </c>
    </row>
    <row r="421" spans="1:22" ht="14.25" customHeight="1" x14ac:dyDescent="0.35">
      <c r="A421" s="6" t="s">
        <v>217</v>
      </c>
      <c r="B421" s="7" t="s">
        <v>218</v>
      </c>
      <c r="C421" s="7" t="s">
        <v>368</v>
      </c>
      <c r="D421" s="7" t="s">
        <v>369</v>
      </c>
      <c r="E421" s="7" t="s">
        <v>378</v>
      </c>
      <c r="F421" s="7" t="s">
        <v>379</v>
      </c>
      <c r="G421" s="7" t="s">
        <v>86</v>
      </c>
      <c r="H421" s="7" t="s">
        <v>65</v>
      </c>
      <c r="I421" s="10">
        <v>1174</v>
      </c>
      <c r="J421" s="7" t="s">
        <v>46</v>
      </c>
      <c r="K421" s="11">
        <v>0</v>
      </c>
      <c r="L421" s="11">
        <v>0</v>
      </c>
      <c r="M421" s="11">
        <v>0</v>
      </c>
      <c r="N421" s="11">
        <v>-0.80771199999999999</v>
      </c>
      <c r="O421" s="11">
        <v>0</v>
      </c>
      <c r="P421" s="11">
        <v>0</v>
      </c>
      <c r="Q421" s="11">
        <v>0</v>
      </c>
      <c r="R421" s="11">
        <v>0</v>
      </c>
      <c r="S421" s="11">
        <v>0</v>
      </c>
      <c r="T421" s="13">
        <v>0.14000000000000001</v>
      </c>
      <c r="U421" s="13">
        <v>3.3000000000000002E-2</v>
      </c>
      <c r="V421" s="15">
        <v>0.16839999999999999</v>
      </c>
    </row>
    <row r="422" spans="1:22" ht="14.25" customHeight="1" x14ac:dyDescent="0.35">
      <c r="A422" s="6" t="s">
        <v>209</v>
      </c>
      <c r="B422" s="7" t="s">
        <v>210</v>
      </c>
      <c r="C422" s="7" t="s">
        <v>368</v>
      </c>
      <c r="D422" s="7" t="s">
        <v>369</v>
      </c>
      <c r="E422" s="7" t="s">
        <v>378</v>
      </c>
      <c r="F422" s="7" t="s">
        <v>379</v>
      </c>
      <c r="G422" s="7" t="s">
        <v>102</v>
      </c>
      <c r="H422" s="7" t="s">
        <v>65</v>
      </c>
      <c r="I422" s="10">
        <v>989</v>
      </c>
      <c r="J422" s="7" t="s">
        <v>46</v>
      </c>
      <c r="K422" s="11">
        <v>0</v>
      </c>
      <c r="L422" s="11">
        <v>0</v>
      </c>
      <c r="M422" s="11">
        <v>0</v>
      </c>
      <c r="N422" s="11">
        <v>-0.68043200000000004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3">
        <v>0.14000000000000001</v>
      </c>
      <c r="U422" s="13">
        <v>3.3000000000000002E-2</v>
      </c>
      <c r="V422" s="15">
        <v>0.16839999999999999</v>
      </c>
    </row>
    <row r="423" spans="1:22" ht="14.25" customHeight="1" x14ac:dyDescent="0.35">
      <c r="A423" s="6" t="s">
        <v>40</v>
      </c>
      <c r="B423" s="7" t="s">
        <v>41</v>
      </c>
      <c r="C423" s="7" t="s">
        <v>368</v>
      </c>
      <c r="D423" s="7" t="s">
        <v>369</v>
      </c>
      <c r="E423" s="7" t="s">
        <v>380</v>
      </c>
      <c r="F423" s="7" t="s">
        <v>381</v>
      </c>
      <c r="G423" s="7" t="s">
        <v>64</v>
      </c>
      <c r="H423" s="7" t="s">
        <v>65</v>
      </c>
      <c r="I423" s="10">
        <v>4428</v>
      </c>
      <c r="J423" s="7" t="s">
        <v>265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95.201999999999998</v>
      </c>
      <c r="S423" s="11">
        <v>92.060333999999997</v>
      </c>
      <c r="T423" s="13">
        <v>0.14000000000000001</v>
      </c>
      <c r="U423" s="13">
        <v>3.3000000000000002E-2</v>
      </c>
      <c r="V423" s="15">
        <v>0.16839999999999999</v>
      </c>
    </row>
    <row r="424" spans="1:22" ht="14.25" customHeight="1" x14ac:dyDescent="0.35">
      <c r="A424" s="6" t="s">
        <v>49</v>
      </c>
      <c r="B424" s="7" t="s">
        <v>50</v>
      </c>
      <c r="C424" s="7" t="s">
        <v>368</v>
      </c>
      <c r="D424" s="7" t="s">
        <v>369</v>
      </c>
      <c r="E424" s="7" t="s">
        <v>380</v>
      </c>
      <c r="F424" s="7" t="s">
        <v>381</v>
      </c>
      <c r="G424" s="7" t="s">
        <v>64</v>
      </c>
      <c r="H424" s="7" t="s">
        <v>65</v>
      </c>
      <c r="I424" s="10">
        <v>4428</v>
      </c>
      <c r="J424" s="7" t="s">
        <v>265</v>
      </c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95.201999999999998</v>
      </c>
      <c r="S424" s="11">
        <v>92.060333999999997</v>
      </c>
      <c r="T424" s="13">
        <v>0.14000000000000001</v>
      </c>
      <c r="U424" s="13">
        <v>3.3000000000000002E-2</v>
      </c>
      <c r="V424" s="15">
        <v>0.16839999999999999</v>
      </c>
    </row>
    <row r="425" spans="1:22" ht="14.25" customHeight="1" x14ac:dyDescent="0.35">
      <c r="A425" s="6" t="s">
        <v>217</v>
      </c>
      <c r="B425" s="7" t="s">
        <v>218</v>
      </c>
      <c r="C425" s="7" t="s">
        <v>368</v>
      </c>
      <c r="D425" s="7" t="s">
        <v>369</v>
      </c>
      <c r="E425" s="7" t="s">
        <v>380</v>
      </c>
      <c r="F425" s="7" t="s">
        <v>381</v>
      </c>
      <c r="G425" s="7" t="s">
        <v>64</v>
      </c>
      <c r="H425" s="7" t="s">
        <v>65</v>
      </c>
      <c r="I425" s="10">
        <v>2214</v>
      </c>
      <c r="J425" s="7" t="s">
        <v>265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47.600999999999999</v>
      </c>
      <c r="S425" s="11">
        <v>46.030166999999999</v>
      </c>
      <c r="T425" s="13">
        <v>0.14000000000000001</v>
      </c>
      <c r="U425" s="13">
        <v>3.3000000000000002E-2</v>
      </c>
      <c r="V425" s="15">
        <v>0.16839999999999999</v>
      </c>
    </row>
    <row r="426" spans="1:22" ht="14.25" customHeight="1" x14ac:dyDescent="0.35">
      <c r="A426" s="6" t="s">
        <v>47</v>
      </c>
      <c r="B426" s="7" t="s">
        <v>48</v>
      </c>
      <c r="C426" s="7" t="s">
        <v>368</v>
      </c>
      <c r="D426" s="7" t="s">
        <v>369</v>
      </c>
      <c r="E426" s="7" t="s">
        <v>380</v>
      </c>
      <c r="F426" s="7" t="s">
        <v>381</v>
      </c>
      <c r="G426" s="7" t="s">
        <v>64</v>
      </c>
      <c r="H426" s="7" t="s">
        <v>65</v>
      </c>
      <c r="I426" s="10">
        <v>4428</v>
      </c>
      <c r="J426" s="7" t="s">
        <v>265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95.201999999999998</v>
      </c>
      <c r="S426" s="11">
        <v>92.060333999999997</v>
      </c>
      <c r="T426" s="13">
        <v>0.14000000000000001</v>
      </c>
      <c r="U426" s="13">
        <v>3.3000000000000002E-2</v>
      </c>
      <c r="V426" s="15">
        <v>0.16839999999999999</v>
      </c>
    </row>
    <row r="427" spans="1:22" ht="14.25" customHeight="1" x14ac:dyDescent="0.35">
      <c r="A427" s="6" t="s">
        <v>209</v>
      </c>
      <c r="B427" s="7" t="s">
        <v>210</v>
      </c>
      <c r="C427" s="7" t="s">
        <v>368</v>
      </c>
      <c r="D427" s="7" t="s">
        <v>369</v>
      </c>
      <c r="E427" s="7" t="s">
        <v>380</v>
      </c>
      <c r="F427" s="7" t="s">
        <v>381</v>
      </c>
      <c r="G427" s="7" t="s">
        <v>103</v>
      </c>
      <c r="H427" s="7" t="s">
        <v>65</v>
      </c>
      <c r="I427" s="10">
        <v>1424</v>
      </c>
      <c r="J427" s="7" t="s">
        <v>265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30.616</v>
      </c>
      <c r="S427" s="11">
        <v>29.605671999999998</v>
      </c>
      <c r="T427" s="13">
        <v>0.14000000000000001</v>
      </c>
      <c r="U427" s="13">
        <v>3.3000000000000002E-2</v>
      </c>
      <c r="V427" s="15">
        <v>0.16839999999999999</v>
      </c>
    </row>
    <row r="428" spans="1:22" ht="14.25" customHeight="1" x14ac:dyDescent="0.35">
      <c r="A428" s="6" t="s">
        <v>49</v>
      </c>
      <c r="B428" s="7" t="s">
        <v>50</v>
      </c>
      <c r="C428" s="7" t="s">
        <v>368</v>
      </c>
      <c r="D428" s="7" t="s">
        <v>369</v>
      </c>
      <c r="E428" s="7" t="s">
        <v>382</v>
      </c>
      <c r="F428" s="7" t="s">
        <v>383</v>
      </c>
      <c r="G428" s="7" t="s">
        <v>64</v>
      </c>
      <c r="H428" s="7" t="s">
        <v>65</v>
      </c>
      <c r="I428" s="10">
        <v>4.1000000000000002E-2</v>
      </c>
      <c r="J428" s="7" t="s">
        <v>215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2.4000000000000001E-4</v>
      </c>
      <c r="S428" s="11">
        <v>2.32E-4</v>
      </c>
      <c r="T428" s="13">
        <v>0.14000000000000001</v>
      </c>
      <c r="U428" s="13">
        <v>3.3000000000000002E-2</v>
      </c>
      <c r="V428" s="15">
        <v>0.16839999999999999</v>
      </c>
    </row>
    <row r="429" spans="1:22" ht="14.25" customHeight="1" x14ac:dyDescent="0.35">
      <c r="A429" s="6" t="s">
        <v>40</v>
      </c>
      <c r="B429" s="7" t="s">
        <v>41</v>
      </c>
      <c r="C429" s="7" t="s">
        <v>368</v>
      </c>
      <c r="D429" s="7" t="s">
        <v>369</v>
      </c>
      <c r="E429" s="7" t="s">
        <v>382</v>
      </c>
      <c r="F429" s="7" t="s">
        <v>383</v>
      </c>
      <c r="G429" s="7" t="s">
        <v>76</v>
      </c>
      <c r="H429" s="7" t="s">
        <v>59</v>
      </c>
      <c r="I429" s="10">
        <v>8.9999999999999993E-3</v>
      </c>
      <c r="J429" s="7" t="s">
        <v>215</v>
      </c>
      <c r="K429" s="11">
        <v>0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1">
        <v>0</v>
      </c>
      <c r="R429" s="11">
        <v>7.8999999999999996E-5</v>
      </c>
      <c r="S429" s="11">
        <v>7.6000000000000004E-5</v>
      </c>
      <c r="T429" s="13">
        <v>0.14000000000000001</v>
      </c>
      <c r="U429" s="13">
        <v>3.3000000000000002E-2</v>
      </c>
      <c r="V429" s="15">
        <v>0.16839999999999999</v>
      </c>
    </row>
    <row r="430" spans="1:22" ht="14.25" customHeight="1" x14ac:dyDescent="0.35">
      <c r="A430" s="6" t="s">
        <v>47</v>
      </c>
      <c r="B430" s="7" t="s">
        <v>48</v>
      </c>
      <c r="C430" s="7" t="s">
        <v>368</v>
      </c>
      <c r="D430" s="7" t="s">
        <v>369</v>
      </c>
      <c r="E430" s="7" t="s">
        <v>382</v>
      </c>
      <c r="F430" s="7" t="s">
        <v>383</v>
      </c>
      <c r="G430" s="7" t="s">
        <v>86</v>
      </c>
      <c r="H430" s="7" t="s">
        <v>65</v>
      </c>
      <c r="I430" s="10">
        <v>2.4409999999999998</v>
      </c>
      <c r="J430" s="7" t="s">
        <v>215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2.0961E-2</v>
      </c>
      <c r="S430" s="11">
        <v>2.0268999999999999E-2</v>
      </c>
      <c r="T430" s="13">
        <v>0.14000000000000001</v>
      </c>
      <c r="U430" s="13">
        <v>3.3000000000000002E-2</v>
      </c>
      <c r="V430" s="15">
        <v>0.16839999999999999</v>
      </c>
    </row>
    <row r="431" spans="1:22" ht="14.25" customHeight="1" x14ac:dyDescent="0.35">
      <c r="A431" s="6" t="s">
        <v>49</v>
      </c>
      <c r="B431" s="7" t="s">
        <v>50</v>
      </c>
      <c r="C431" s="7" t="s">
        <v>368</v>
      </c>
      <c r="D431" s="7" t="s">
        <v>369</v>
      </c>
      <c r="E431" s="7" t="s">
        <v>384</v>
      </c>
      <c r="F431" s="7" t="s">
        <v>385</v>
      </c>
      <c r="G431" s="7" t="s">
        <v>86</v>
      </c>
      <c r="H431" s="7" t="s">
        <v>65</v>
      </c>
      <c r="I431" s="10">
        <v>1E-3</v>
      </c>
      <c r="J431" s="7" t="s">
        <v>215</v>
      </c>
      <c r="K431" s="11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3">
        <v>0.14000000000000001</v>
      </c>
      <c r="U431" s="13">
        <v>3.3000000000000002E-2</v>
      </c>
      <c r="V431" s="15">
        <v>0.16839999999999999</v>
      </c>
    </row>
    <row r="432" spans="1:22" ht="14.25" customHeight="1" x14ac:dyDescent="0.35">
      <c r="A432" s="6" t="s">
        <v>47</v>
      </c>
      <c r="B432" s="7" t="s">
        <v>48</v>
      </c>
      <c r="C432" s="7" t="s">
        <v>368</v>
      </c>
      <c r="D432" s="7" t="s">
        <v>369</v>
      </c>
      <c r="E432" s="7" t="s">
        <v>384</v>
      </c>
      <c r="F432" s="7" t="s">
        <v>385</v>
      </c>
      <c r="G432" s="7" t="s">
        <v>251</v>
      </c>
      <c r="H432" s="7" t="s">
        <v>65</v>
      </c>
      <c r="I432" s="10">
        <v>1E-3</v>
      </c>
      <c r="J432" s="7" t="s">
        <v>215</v>
      </c>
      <c r="K432" s="11">
        <v>0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3">
        <v>0.14000000000000001</v>
      </c>
      <c r="U432" s="13">
        <v>3.3000000000000002E-2</v>
      </c>
      <c r="V432" s="15">
        <v>0.16839999999999999</v>
      </c>
    </row>
    <row r="433" spans="1:22" ht="14.25" customHeight="1" x14ac:dyDescent="0.35">
      <c r="A433" s="6" t="s">
        <v>40</v>
      </c>
      <c r="B433" s="7" t="s">
        <v>41</v>
      </c>
      <c r="C433" s="7" t="s">
        <v>368</v>
      </c>
      <c r="D433" s="7" t="s">
        <v>369</v>
      </c>
      <c r="E433" s="7" t="s">
        <v>384</v>
      </c>
      <c r="F433" s="7" t="s">
        <v>385</v>
      </c>
      <c r="G433" s="7" t="s">
        <v>73</v>
      </c>
      <c r="H433" s="7" t="s">
        <v>119</v>
      </c>
      <c r="I433" s="10">
        <v>0</v>
      </c>
      <c r="J433" s="7" t="s">
        <v>215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3">
        <v>0.14000000000000001</v>
      </c>
      <c r="U433" s="13">
        <v>3.3000000000000002E-2</v>
      </c>
      <c r="V433" s="15">
        <v>0.16839999999999999</v>
      </c>
    </row>
    <row r="434" spans="1:22" ht="14.25" customHeight="1" x14ac:dyDescent="0.35">
      <c r="A434" s="6" t="s">
        <v>217</v>
      </c>
      <c r="B434" s="7" t="s">
        <v>218</v>
      </c>
      <c r="C434" s="7" t="s">
        <v>368</v>
      </c>
      <c r="D434" s="7" t="s">
        <v>369</v>
      </c>
      <c r="E434" s="7" t="s">
        <v>386</v>
      </c>
      <c r="F434" s="7" t="s">
        <v>387</v>
      </c>
      <c r="G434" s="7" t="s">
        <v>86</v>
      </c>
      <c r="H434" s="7" t="s">
        <v>65</v>
      </c>
      <c r="I434" s="10">
        <v>1174</v>
      </c>
      <c r="J434" s="7" t="s">
        <v>46</v>
      </c>
      <c r="K434" s="11">
        <v>0</v>
      </c>
      <c r="L434" s="11">
        <v>0</v>
      </c>
      <c r="M434" s="11">
        <v>0</v>
      </c>
      <c r="N434" s="11">
        <v>-1.1106039999999999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3">
        <v>0.14000000000000001</v>
      </c>
      <c r="U434" s="13">
        <v>3.3000000000000002E-2</v>
      </c>
      <c r="V434" s="15">
        <v>0.16839999999999999</v>
      </c>
    </row>
    <row r="435" spans="1:22" ht="14.25" customHeight="1" x14ac:dyDescent="0.35">
      <c r="A435" s="6" t="s">
        <v>47</v>
      </c>
      <c r="B435" s="7" t="s">
        <v>48</v>
      </c>
      <c r="C435" s="7" t="s">
        <v>368</v>
      </c>
      <c r="D435" s="7" t="s">
        <v>369</v>
      </c>
      <c r="E435" s="7" t="s">
        <v>386</v>
      </c>
      <c r="F435" s="7" t="s">
        <v>387</v>
      </c>
      <c r="G435" s="7" t="s">
        <v>86</v>
      </c>
      <c r="H435" s="7" t="s">
        <v>65</v>
      </c>
      <c r="I435" s="10">
        <v>2384</v>
      </c>
      <c r="J435" s="7" t="s">
        <v>46</v>
      </c>
      <c r="K435" s="11">
        <v>0</v>
      </c>
      <c r="L435" s="11">
        <v>0</v>
      </c>
      <c r="M435" s="11">
        <v>0</v>
      </c>
      <c r="N435" s="11">
        <v>-2.2552639999999999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3">
        <v>0.14000000000000001</v>
      </c>
      <c r="U435" s="13">
        <v>3.3000000000000002E-2</v>
      </c>
      <c r="V435" s="15">
        <v>0.16839999999999999</v>
      </c>
    </row>
    <row r="436" spans="1:22" ht="14.25" customHeight="1" x14ac:dyDescent="0.35">
      <c r="A436" s="6" t="s">
        <v>40</v>
      </c>
      <c r="B436" s="7" t="s">
        <v>41</v>
      </c>
      <c r="C436" s="7" t="s">
        <v>368</v>
      </c>
      <c r="D436" s="7" t="s">
        <v>369</v>
      </c>
      <c r="E436" s="7" t="s">
        <v>386</v>
      </c>
      <c r="F436" s="7" t="s">
        <v>387</v>
      </c>
      <c r="G436" s="7" t="s">
        <v>86</v>
      </c>
      <c r="H436" s="7" t="s">
        <v>65</v>
      </c>
      <c r="I436" s="10">
        <v>2972</v>
      </c>
      <c r="J436" s="7" t="s">
        <v>46</v>
      </c>
      <c r="K436" s="11">
        <v>0</v>
      </c>
      <c r="L436" s="11">
        <v>0</v>
      </c>
      <c r="M436" s="11">
        <v>0</v>
      </c>
      <c r="N436" s="11">
        <v>-2.811512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3">
        <v>0.14000000000000001</v>
      </c>
      <c r="U436" s="13">
        <v>3.3000000000000002E-2</v>
      </c>
      <c r="V436" s="15">
        <v>0.16839999999999999</v>
      </c>
    </row>
    <row r="437" spans="1:22" ht="14.25" customHeight="1" x14ac:dyDescent="0.35">
      <c r="A437" s="6" t="s">
        <v>49</v>
      </c>
      <c r="B437" s="7" t="s">
        <v>50</v>
      </c>
      <c r="C437" s="7" t="s">
        <v>368</v>
      </c>
      <c r="D437" s="7" t="s">
        <v>369</v>
      </c>
      <c r="E437" s="7" t="s">
        <v>386</v>
      </c>
      <c r="F437" s="7" t="s">
        <v>387</v>
      </c>
      <c r="G437" s="7" t="s">
        <v>86</v>
      </c>
      <c r="H437" s="7" t="s">
        <v>65</v>
      </c>
      <c r="I437" s="10">
        <v>2229</v>
      </c>
      <c r="J437" s="7" t="s">
        <v>46</v>
      </c>
      <c r="K437" s="11">
        <v>0</v>
      </c>
      <c r="L437" s="11">
        <v>0</v>
      </c>
      <c r="M437" s="11">
        <v>0</v>
      </c>
      <c r="N437" s="11">
        <v>-2.1086339999999999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3">
        <v>0.14000000000000001</v>
      </c>
      <c r="U437" s="13">
        <v>3.3000000000000002E-2</v>
      </c>
      <c r="V437" s="15">
        <v>0.16839999999999999</v>
      </c>
    </row>
    <row r="438" spans="1:22" ht="14.25" customHeight="1" x14ac:dyDescent="0.35">
      <c r="A438" s="6" t="s">
        <v>209</v>
      </c>
      <c r="B438" s="7" t="s">
        <v>210</v>
      </c>
      <c r="C438" s="7" t="s">
        <v>368</v>
      </c>
      <c r="D438" s="7" t="s">
        <v>369</v>
      </c>
      <c r="E438" s="7" t="s">
        <v>386</v>
      </c>
      <c r="F438" s="7" t="s">
        <v>387</v>
      </c>
      <c r="G438" s="7" t="s">
        <v>102</v>
      </c>
      <c r="H438" s="7" t="s">
        <v>65</v>
      </c>
      <c r="I438" s="10">
        <v>989</v>
      </c>
      <c r="J438" s="7" t="s">
        <v>46</v>
      </c>
      <c r="K438" s="11">
        <v>0</v>
      </c>
      <c r="L438" s="11">
        <v>0</v>
      </c>
      <c r="M438" s="11">
        <v>0</v>
      </c>
      <c r="N438" s="11">
        <v>-0.93559400000000004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3">
        <v>0.14000000000000001</v>
      </c>
      <c r="U438" s="13">
        <v>3.3000000000000002E-2</v>
      </c>
      <c r="V438" s="15">
        <v>0.16839999999999999</v>
      </c>
    </row>
    <row r="439" spans="1:22" ht="14.25" customHeight="1" x14ac:dyDescent="0.35">
      <c r="A439" s="6" t="s">
        <v>47</v>
      </c>
      <c r="B439" s="7" t="s">
        <v>48</v>
      </c>
      <c r="C439" s="7" t="s">
        <v>388</v>
      </c>
      <c r="D439" s="7" t="s">
        <v>389</v>
      </c>
      <c r="E439" s="7" t="s">
        <v>390</v>
      </c>
      <c r="F439" s="7" t="s">
        <v>391</v>
      </c>
      <c r="G439" s="7" t="s">
        <v>64</v>
      </c>
      <c r="H439" s="7" t="s">
        <v>65</v>
      </c>
      <c r="I439" s="10">
        <v>2</v>
      </c>
      <c r="J439" s="7" t="s">
        <v>328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1.719141</v>
      </c>
      <c r="S439" s="11">
        <v>1.662409</v>
      </c>
      <c r="T439" s="13">
        <v>0.14000000000000001</v>
      </c>
      <c r="U439" s="13">
        <v>3.3000000000000002E-2</v>
      </c>
      <c r="V439" s="15">
        <v>0.16839999999999999</v>
      </c>
    </row>
    <row r="440" spans="1:22" ht="14.25" customHeight="1" x14ac:dyDescent="0.35">
      <c r="A440" s="6" t="s">
        <v>40</v>
      </c>
      <c r="B440" s="7" t="s">
        <v>41</v>
      </c>
      <c r="C440" s="7" t="s">
        <v>388</v>
      </c>
      <c r="D440" s="7" t="s">
        <v>389</v>
      </c>
      <c r="E440" s="7" t="s">
        <v>390</v>
      </c>
      <c r="F440" s="7" t="s">
        <v>391</v>
      </c>
      <c r="G440" s="7" t="s">
        <v>64</v>
      </c>
      <c r="H440" s="7" t="s">
        <v>65</v>
      </c>
      <c r="I440" s="10">
        <v>2</v>
      </c>
      <c r="J440" s="7" t="s">
        <v>328</v>
      </c>
      <c r="K440" s="11">
        <v>0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1.719109</v>
      </c>
      <c r="S440" s="11">
        <v>1.6623779999999999</v>
      </c>
      <c r="T440" s="13">
        <v>0.14000000000000001</v>
      </c>
      <c r="U440" s="13">
        <v>3.3000000000000002E-2</v>
      </c>
      <c r="V440" s="15">
        <v>0.16839999999999999</v>
      </c>
    </row>
    <row r="441" spans="1:22" ht="14.25" customHeight="1" x14ac:dyDescent="0.35">
      <c r="A441" s="6" t="s">
        <v>217</v>
      </c>
      <c r="B441" s="7" t="s">
        <v>218</v>
      </c>
      <c r="C441" s="7" t="s">
        <v>388</v>
      </c>
      <c r="D441" s="7" t="s">
        <v>389</v>
      </c>
      <c r="E441" s="7" t="s">
        <v>390</v>
      </c>
      <c r="F441" s="7" t="s">
        <v>391</v>
      </c>
      <c r="G441" s="7" t="s">
        <v>86</v>
      </c>
      <c r="H441" s="7" t="s">
        <v>65</v>
      </c>
      <c r="I441" s="10">
        <v>1</v>
      </c>
      <c r="J441" s="7" t="s">
        <v>328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0.85942799999999997</v>
      </c>
      <c r="S441" s="11">
        <v>0.831067</v>
      </c>
      <c r="T441" s="13">
        <v>0.14000000000000001</v>
      </c>
      <c r="U441" s="13">
        <v>3.3000000000000002E-2</v>
      </c>
      <c r="V441" s="15">
        <v>0.16839999999999999</v>
      </c>
    </row>
    <row r="442" spans="1:22" ht="14.25" customHeight="1" x14ac:dyDescent="0.35">
      <c r="A442" s="6" t="s">
        <v>209</v>
      </c>
      <c r="B442" s="7" t="s">
        <v>210</v>
      </c>
      <c r="C442" s="7" t="s">
        <v>388</v>
      </c>
      <c r="D442" s="7" t="s">
        <v>389</v>
      </c>
      <c r="E442" s="7" t="s">
        <v>390</v>
      </c>
      <c r="F442" s="7" t="s">
        <v>391</v>
      </c>
      <c r="G442" s="7" t="s">
        <v>102</v>
      </c>
      <c r="H442" s="7" t="s">
        <v>65</v>
      </c>
      <c r="I442" s="10">
        <v>0.67600000000000005</v>
      </c>
      <c r="J442" s="7" t="s">
        <v>328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0.58134200000000003</v>
      </c>
      <c r="S442" s="11">
        <v>0.56215800000000005</v>
      </c>
      <c r="T442" s="13">
        <v>0.14000000000000001</v>
      </c>
      <c r="U442" s="13">
        <v>3.3000000000000002E-2</v>
      </c>
      <c r="V442" s="15">
        <v>0.16839999999999999</v>
      </c>
    </row>
    <row r="443" spans="1:22" ht="14.25" customHeight="1" x14ac:dyDescent="0.35">
      <c r="A443" s="6" t="s">
        <v>49</v>
      </c>
      <c r="B443" s="7" t="s">
        <v>50</v>
      </c>
      <c r="C443" s="7" t="s">
        <v>388</v>
      </c>
      <c r="D443" s="7" t="s">
        <v>389</v>
      </c>
      <c r="E443" s="7" t="s">
        <v>390</v>
      </c>
      <c r="F443" s="7" t="s">
        <v>391</v>
      </c>
      <c r="G443" s="7" t="s">
        <v>241</v>
      </c>
      <c r="H443" s="7" t="s">
        <v>65</v>
      </c>
      <c r="I443" s="10">
        <v>2</v>
      </c>
      <c r="J443" s="7" t="s">
        <v>328</v>
      </c>
      <c r="K443" s="11">
        <v>0</v>
      </c>
      <c r="L443" s="11">
        <v>0</v>
      </c>
      <c r="M443" s="11">
        <v>0</v>
      </c>
      <c r="N443" s="11">
        <v>0</v>
      </c>
      <c r="O443" s="11">
        <v>0</v>
      </c>
      <c r="P443" s="11">
        <v>0</v>
      </c>
      <c r="Q443" s="11">
        <v>0</v>
      </c>
      <c r="R443" s="11">
        <v>1.7191099999999999</v>
      </c>
      <c r="S443" s="11">
        <v>1.6623790000000001</v>
      </c>
      <c r="T443" s="13">
        <v>0.14000000000000001</v>
      </c>
      <c r="U443" s="13">
        <v>3.3000000000000002E-2</v>
      </c>
      <c r="V443" s="15">
        <v>0.16839999999999999</v>
      </c>
    </row>
    <row r="444" spans="1:22" ht="14.25" customHeight="1" x14ac:dyDescent="0.35">
      <c r="A444" s="6" t="s">
        <v>47</v>
      </c>
      <c r="B444" s="7" t="s">
        <v>48</v>
      </c>
      <c r="C444" s="7" t="s">
        <v>388</v>
      </c>
      <c r="D444" s="7" t="s">
        <v>389</v>
      </c>
      <c r="E444" s="7" t="s">
        <v>392</v>
      </c>
      <c r="F444" s="7" t="s">
        <v>393</v>
      </c>
      <c r="G444" s="7" t="s">
        <v>86</v>
      </c>
      <c r="H444" s="7" t="s">
        <v>65</v>
      </c>
      <c r="I444" s="10">
        <v>12704</v>
      </c>
      <c r="J444" s="7" t="s">
        <v>46</v>
      </c>
      <c r="K444" s="11">
        <v>0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  <c r="R444" s="11">
        <v>3.1593000000000003E-2</v>
      </c>
      <c r="S444" s="11">
        <v>3.0550000000000001E-2</v>
      </c>
      <c r="T444" s="13">
        <v>0.14000000000000001</v>
      </c>
      <c r="U444" s="13">
        <v>3.3000000000000002E-2</v>
      </c>
      <c r="V444" s="15">
        <v>0.16839999999999999</v>
      </c>
    </row>
    <row r="445" spans="1:22" ht="14.25" customHeight="1" x14ac:dyDescent="0.35">
      <c r="A445" s="6" t="s">
        <v>49</v>
      </c>
      <c r="B445" s="7" t="s">
        <v>50</v>
      </c>
      <c r="C445" s="7" t="s">
        <v>388</v>
      </c>
      <c r="D445" s="7" t="s">
        <v>389</v>
      </c>
      <c r="E445" s="7" t="s">
        <v>392</v>
      </c>
      <c r="F445" s="7" t="s">
        <v>393</v>
      </c>
      <c r="G445" s="7" t="s">
        <v>86</v>
      </c>
      <c r="H445" s="7" t="s">
        <v>65</v>
      </c>
      <c r="I445" s="10">
        <v>8834</v>
      </c>
      <c r="J445" s="7" t="s">
        <v>46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2.1741E-2</v>
      </c>
      <c r="S445" s="11">
        <v>2.1024000000000001E-2</v>
      </c>
      <c r="T445" s="13">
        <v>0.14000000000000001</v>
      </c>
      <c r="U445" s="13">
        <v>3.3000000000000002E-2</v>
      </c>
      <c r="V445" s="15">
        <v>0.16839999999999999</v>
      </c>
    </row>
    <row r="446" spans="1:22" ht="14.25" customHeight="1" x14ac:dyDescent="0.35">
      <c r="A446" s="6" t="s">
        <v>40</v>
      </c>
      <c r="B446" s="7" t="s">
        <v>41</v>
      </c>
      <c r="C446" s="7" t="s">
        <v>388</v>
      </c>
      <c r="D446" s="7" t="s">
        <v>389</v>
      </c>
      <c r="E446" s="7" t="s">
        <v>392</v>
      </c>
      <c r="F446" s="7" t="s">
        <v>393</v>
      </c>
      <c r="G446" s="7" t="s">
        <v>86</v>
      </c>
      <c r="H446" s="7" t="s">
        <v>65</v>
      </c>
      <c r="I446" s="10">
        <v>9645</v>
      </c>
      <c r="J446" s="7" t="s">
        <v>46</v>
      </c>
      <c r="K446" s="11">
        <v>0</v>
      </c>
      <c r="L446" s="11">
        <v>0</v>
      </c>
      <c r="M446" s="11">
        <v>0</v>
      </c>
      <c r="N446" s="11">
        <v>0</v>
      </c>
      <c r="O446" s="11">
        <v>0</v>
      </c>
      <c r="P446" s="11">
        <v>0</v>
      </c>
      <c r="Q446" s="11">
        <v>0</v>
      </c>
      <c r="R446" s="11">
        <v>2.3980999999999999E-2</v>
      </c>
      <c r="S446" s="11">
        <v>2.3189999999999999E-2</v>
      </c>
      <c r="T446" s="13">
        <v>0.14000000000000001</v>
      </c>
      <c r="U446" s="13">
        <v>3.3000000000000002E-2</v>
      </c>
      <c r="V446" s="15">
        <v>0.16839999999999999</v>
      </c>
    </row>
    <row r="447" spans="1:22" ht="14.25" customHeight="1" x14ac:dyDescent="0.35">
      <c r="A447" s="6" t="s">
        <v>209</v>
      </c>
      <c r="B447" s="7" t="s">
        <v>210</v>
      </c>
      <c r="C447" s="7" t="s">
        <v>388</v>
      </c>
      <c r="D447" s="7" t="s">
        <v>389</v>
      </c>
      <c r="E447" s="7" t="s">
        <v>392</v>
      </c>
      <c r="F447" s="7" t="s">
        <v>393</v>
      </c>
      <c r="G447" s="7" t="s">
        <v>102</v>
      </c>
      <c r="H447" s="7" t="s">
        <v>65</v>
      </c>
      <c r="I447" s="10">
        <v>36134</v>
      </c>
      <c r="J447" s="7" t="s">
        <v>46</v>
      </c>
      <c r="K447" s="11">
        <v>0</v>
      </c>
      <c r="L447" s="11">
        <v>0</v>
      </c>
      <c r="M447" s="11">
        <v>0</v>
      </c>
      <c r="N447" s="11">
        <v>0</v>
      </c>
      <c r="O447" s="11">
        <v>0</v>
      </c>
      <c r="P447" s="11">
        <v>0</v>
      </c>
      <c r="Q447" s="11">
        <v>0</v>
      </c>
      <c r="R447" s="11">
        <v>9.1830999999999996E-2</v>
      </c>
      <c r="S447" s="11">
        <v>8.8801000000000005E-2</v>
      </c>
      <c r="T447" s="13">
        <v>0.14000000000000001</v>
      </c>
      <c r="U447" s="13">
        <v>3.3000000000000002E-2</v>
      </c>
      <c r="V447" s="15">
        <v>0.16839999999999999</v>
      </c>
    </row>
    <row r="448" spans="1:22" ht="14.25" customHeight="1" x14ac:dyDescent="0.35">
      <c r="A448" s="6" t="s">
        <v>217</v>
      </c>
      <c r="B448" s="7" t="s">
        <v>218</v>
      </c>
      <c r="C448" s="7" t="s">
        <v>388</v>
      </c>
      <c r="D448" s="7" t="s">
        <v>389</v>
      </c>
      <c r="E448" s="7" t="s">
        <v>392</v>
      </c>
      <c r="F448" s="7" t="s">
        <v>393</v>
      </c>
      <c r="G448" s="7" t="s">
        <v>86</v>
      </c>
      <c r="H448" s="7" t="s">
        <v>65</v>
      </c>
      <c r="I448" s="10">
        <v>53871</v>
      </c>
      <c r="J448" s="7" t="s">
        <v>46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0.13692399999999999</v>
      </c>
      <c r="S448" s="11">
        <v>0.132406</v>
      </c>
      <c r="T448" s="13">
        <v>0.14000000000000001</v>
      </c>
      <c r="U448" s="13">
        <v>3.3000000000000002E-2</v>
      </c>
      <c r="V448" s="15">
        <v>0.16839999999999999</v>
      </c>
    </row>
    <row r="449" spans="1:22" ht="14.25" customHeight="1" x14ac:dyDescent="0.35">
      <c r="A449" s="6" t="s">
        <v>49</v>
      </c>
      <c r="B449" s="7" t="s">
        <v>50</v>
      </c>
      <c r="C449" s="7" t="s">
        <v>394</v>
      </c>
      <c r="D449" s="7" t="s">
        <v>395</v>
      </c>
      <c r="E449" s="7" t="s">
        <v>396</v>
      </c>
      <c r="F449" s="7" t="s">
        <v>397</v>
      </c>
      <c r="G449" s="7" t="s">
        <v>86</v>
      </c>
      <c r="H449" s="7" t="s">
        <v>65</v>
      </c>
      <c r="I449" s="10">
        <v>0.69199999999999995</v>
      </c>
      <c r="J449" s="7" t="s">
        <v>328</v>
      </c>
      <c r="K449" s="11">
        <v>0</v>
      </c>
      <c r="L449" s="11">
        <v>0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3.5414000000000001E-2</v>
      </c>
      <c r="S449" s="11">
        <v>3.4244999999999998E-2</v>
      </c>
      <c r="T449" s="13">
        <v>0.14000000000000001</v>
      </c>
      <c r="U449" s="13">
        <v>3.3000000000000002E-2</v>
      </c>
      <c r="V449" s="15">
        <v>0.16839999999999999</v>
      </c>
    </row>
    <row r="450" spans="1:22" ht="14.25" customHeight="1" x14ac:dyDescent="0.35">
      <c r="A450" s="6" t="s">
        <v>217</v>
      </c>
      <c r="B450" s="7" t="s">
        <v>218</v>
      </c>
      <c r="C450" s="7" t="s">
        <v>394</v>
      </c>
      <c r="D450" s="7" t="s">
        <v>395</v>
      </c>
      <c r="E450" s="7" t="s">
        <v>396</v>
      </c>
      <c r="F450" s="7" t="s">
        <v>397</v>
      </c>
      <c r="G450" s="7" t="s">
        <v>86</v>
      </c>
      <c r="H450" s="7" t="s">
        <v>65</v>
      </c>
      <c r="I450" s="10">
        <v>2.7669999999999999</v>
      </c>
      <c r="J450" s="7" t="s">
        <v>328</v>
      </c>
      <c r="K450" s="11">
        <v>0</v>
      </c>
      <c r="L450" s="11">
        <v>0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0.142015</v>
      </c>
      <c r="S450" s="11">
        <v>0.13732900000000001</v>
      </c>
      <c r="T450" s="13">
        <v>0.14000000000000001</v>
      </c>
      <c r="U450" s="13">
        <v>3.3000000000000002E-2</v>
      </c>
      <c r="V450" s="15">
        <v>0.16839999999999999</v>
      </c>
    </row>
    <row r="451" spans="1:22" ht="14.25" customHeight="1" x14ac:dyDescent="0.35">
      <c r="A451" s="6" t="s">
        <v>47</v>
      </c>
      <c r="B451" s="7" t="s">
        <v>48</v>
      </c>
      <c r="C451" s="7" t="s">
        <v>394</v>
      </c>
      <c r="D451" s="7" t="s">
        <v>395</v>
      </c>
      <c r="E451" s="7" t="s">
        <v>396</v>
      </c>
      <c r="F451" s="7" t="s">
        <v>397</v>
      </c>
      <c r="G451" s="7" t="s">
        <v>86</v>
      </c>
      <c r="H451" s="7" t="s">
        <v>65</v>
      </c>
      <c r="I451" s="10">
        <v>0.69199999999999995</v>
      </c>
      <c r="J451" s="7" t="s">
        <v>328</v>
      </c>
      <c r="K451" s="11">
        <v>0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3.5480999999999999E-2</v>
      </c>
      <c r="S451" s="11">
        <v>3.431E-2</v>
      </c>
      <c r="T451" s="13">
        <v>0.14000000000000001</v>
      </c>
      <c r="U451" s="13">
        <v>3.3000000000000002E-2</v>
      </c>
      <c r="V451" s="15">
        <v>0.16839999999999999</v>
      </c>
    </row>
    <row r="452" spans="1:22" ht="14.25" customHeight="1" x14ac:dyDescent="0.35">
      <c r="A452" s="6" t="s">
        <v>40</v>
      </c>
      <c r="B452" s="7" t="s">
        <v>41</v>
      </c>
      <c r="C452" s="7" t="s">
        <v>394</v>
      </c>
      <c r="D452" s="7" t="s">
        <v>395</v>
      </c>
      <c r="E452" s="7" t="s">
        <v>396</v>
      </c>
      <c r="F452" s="7" t="s">
        <v>397</v>
      </c>
      <c r="G452" s="7" t="s">
        <v>86</v>
      </c>
      <c r="H452" s="7" t="s">
        <v>65</v>
      </c>
      <c r="I452" s="10">
        <v>0.69199999999999995</v>
      </c>
      <c r="J452" s="7" t="s">
        <v>328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3.5387000000000002E-2</v>
      </c>
      <c r="S452" s="11">
        <v>3.4218999999999999E-2</v>
      </c>
      <c r="T452" s="13">
        <v>0.14000000000000001</v>
      </c>
      <c r="U452" s="13">
        <v>3.3000000000000002E-2</v>
      </c>
      <c r="V452" s="15">
        <v>0.16839999999999999</v>
      </c>
    </row>
    <row r="453" spans="1:22" ht="14.25" customHeight="1" x14ac:dyDescent="0.35">
      <c r="A453" s="6" t="s">
        <v>209</v>
      </c>
      <c r="B453" s="7" t="s">
        <v>210</v>
      </c>
      <c r="C453" s="7" t="s">
        <v>394</v>
      </c>
      <c r="D453" s="7" t="s">
        <v>395</v>
      </c>
      <c r="E453" s="7" t="s">
        <v>396</v>
      </c>
      <c r="F453" s="7" t="s">
        <v>397</v>
      </c>
      <c r="G453" s="7" t="s">
        <v>102</v>
      </c>
      <c r="H453" s="7" t="s">
        <v>65</v>
      </c>
      <c r="I453" s="10">
        <v>0.82599999999999996</v>
      </c>
      <c r="J453" s="7" t="s">
        <v>328</v>
      </c>
      <c r="K453" s="11">
        <v>0</v>
      </c>
      <c r="L453" s="11">
        <v>0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4.2632999999999997E-2</v>
      </c>
      <c r="S453" s="11">
        <v>4.1225999999999999E-2</v>
      </c>
      <c r="T453" s="13">
        <v>0.14000000000000001</v>
      </c>
      <c r="U453" s="13">
        <v>3.3000000000000002E-2</v>
      </c>
      <c r="V453" s="15">
        <v>0.16839999999999999</v>
      </c>
    </row>
    <row r="454" spans="1:22" ht="14.25" customHeight="1" x14ac:dyDescent="0.35">
      <c r="A454" s="6" t="s">
        <v>49</v>
      </c>
      <c r="B454" s="7" t="s">
        <v>50</v>
      </c>
      <c r="C454" s="7" t="s">
        <v>394</v>
      </c>
      <c r="D454" s="7" t="s">
        <v>395</v>
      </c>
      <c r="E454" s="7" t="s">
        <v>398</v>
      </c>
      <c r="F454" s="7" t="s">
        <v>399</v>
      </c>
      <c r="G454" s="7" t="s">
        <v>156</v>
      </c>
      <c r="H454" s="7" t="s">
        <v>111</v>
      </c>
      <c r="I454" s="10">
        <v>8</v>
      </c>
      <c r="J454" s="7" t="s">
        <v>46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2.4000000000000001E-5</v>
      </c>
      <c r="S454" s="11">
        <v>2.3E-5</v>
      </c>
      <c r="T454" s="13">
        <v>0.14000000000000001</v>
      </c>
      <c r="U454" s="13">
        <v>3.3000000000000002E-2</v>
      </c>
      <c r="V454" s="15">
        <v>0.16839999999999999</v>
      </c>
    </row>
    <row r="455" spans="1:22" ht="14.25" customHeight="1" x14ac:dyDescent="0.35">
      <c r="A455" s="6" t="s">
        <v>47</v>
      </c>
      <c r="B455" s="7" t="s">
        <v>48</v>
      </c>
      <c r="C455" s="7" t="s">
        <v>394</v>
      </c>
      <c r="D455" s="7" t="s">
        <v>395</v>
      </c>
      <c r="E455" s="7" t="s">
        <v>398</v>
      </c>
      <c r="F455" s="7" t="s">
        <v>399</v>
      </c>
      <c r="G455" s="7" t="s">
        <v>400</v>
      </c>
      <c r="H455" s="7" t="s">
        <v>59</v>
      </c>
      <c r="I455" s="10">
        <v>11</v>
      </c>
      <c r="J455" s="7" t="s">
        <v>46</v>
      </c>
      <c r="K455" s="11">
        <v>0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2.3E-5</v>
      </c>
      <c r="S455" s="11">
        <v>2.1999999999999999E-5</v>
      </c>
      <c r="T455" s="13">
        <v>0.14000000000000001</v>
      </c>
      <c r="U455" s="13">
        <v>3.3000000000000002E-2</v>
      </c>
      <c r="V455" s="15">
        <v>0.16839999999999999</v>
      </c>
    </row>
    <row r="456" spans="1:22" ht="14.25" customHeight="1" x14ac:dyDescent="0.35">
      <c r="A456" s="6" t="s">
        <v>209</v>
      </c>
      <c r="B456" s="7" t="s">
        <v>210</v>
      </c>
      <c r="C456" s="7" t="s">
        <v>394</v>
      </c>
      <c r="D456" s="7" t="s">
        <v>395</v>
      </c>
      <c r="E456" s="7" t="s">
        <v>398</v>
      </c>
      <c r="F456" s="7" t="s">
        <v>399</v>
      </c>
      <c r="G456" s="7" t="s">
        <v>102</v>
      </c>
      <c r="H456" s="7" t="s">
        <v>65</v>
      </c>
      <c r="I456" s="10">
        <v>12309</v>
      </c>
      <c r="J456" s="7" t="s">
        <v>46</v>
      </c>
      <c r="K456" s="11">
        <v>0</v>
      </c>
      <c r="L456" s="11">
        <v>0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3.1912999999999997E-2</v>
      </c>
      <c r="S456" s="11">
        <v>3.0859999999999999E-2</v>
      </c>
      <c r="T456" s="13">
        <v>0.14000000000000001</v>
      </c>
      <c r="U456" s="13">
        <v>3.3000000000000002E-2</v>
      </c>
      <c r="V456" s="15">
        <v>0.16839999999999999</v>
      </c>
    </row>
    <row r="457" spans="1:22" ht="14.25" customHeight="1" x14ac:dyDescent="0.35">
      <c r="A457" s="6" t="s">
        <v>40</v>
      </c>
      <c r="B457" s="7" t="s">
        <v>41</v>
      </c>
      <c r="C457" s="7" t="s">
        <v>394</v>
      </c>
      <c r="D457" s="7" t="s">
        <v>395</v>
      </c>
      <c r="E457" s="7" t="s">
        <v>398</v>
      </c>
      <c r="F457" s="7" t="s">
        <v>399</v>
      </c>
      <c r="G457" s="7" t="s">
        <v>73</v>
      </c>
      <c r="H457" s="7" t="s">
        <v>102</v>
      </c>
      <c r="I457" s="10">
        <v>2</v>
      </c>
      <c r="J457" s="7" t="s">
        <v>46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6.0000000000000002E-6</v>
      </c>
      <c r="S457" s="11">
        <v>6.0000000000000002E-6</v>
      </c>
      <c r="T457" s="13">
        <v>0.14000000000000001</v>
      </c>
      <c r="U457" s="13">
        <v>3.3000000000000002E-2</v>
      </c>
      <c r="V457" s="15">
        <v>0.16839999999999999</v>
      </c>
    </row>
    <row r="458" spans="1:22" ht="14.25" customHeight="1" x14ac:dyDescent="0.35">
      <c r="A458" s="6" t="s">
        <v>217</v>
      </c>
      <c r="B458" s="7" t="s">
        <v>218</v>
      </c>
      <c r="C458" s="7" t="s">
        <v>394</v>
      </c>
      <c r="D458" s="7" t="s">
        <v>395</v>
      </c>
      <c r="E458" s="7" t="s">
        <v>398</v>
      </c>
      <c r="F458" s="7" t="s">
        <v>399</v>
      </c>
      <c r="G458" s="7" t="s">
        <v>86</v>
      </c>
      <c r="H458" s="7" t="s">
        <v>65</v>
      </c>
      <c r="I458" s="10">
        <v>11979</v>
      </c>
      <c r="J458" s="7" t="s">
        <v>46</v>
      </c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3.1033999999999999E-2</v>
      </c>
      <c r="S458" s="11">
        <v>3.0009999999999998E-2</v>
      </c>
      <c r="T458" s="13">
        <v>0.14000000000000001</v>
      </c>
      <c r="U458" s="13">
        <v>3.3000000000000002E-2</v>
      </c>
      <c r="V458" s="15">
        <v>0.16839999999999999</v>
      </c>
    </row>
    <row r="459" spans="1:22" ht="14.25" customHeight="1" x14ac:dyDescent="0.35">
      <c r="A459" s="6" t="s">
        <v>209</v>
      </c>
      <c r="B459" s="7" t="s">
        <v>210</v>
      </c>
      <c r="C459" s="7" t="s">
        <v>401</v>
      </c>
      <c r="D459" s="7" t="s">
        <v>402</v>
      </c>
      <c r="E459" s="7" t="s">
        <v>403</v>
      </c>
      <c r="F459" s="7" t="s">
        <v>404</v>
      </c>
      <c r="G459" s="7" t="s">
        <v>102</v>
      </c>
      <c r="H459" s="7" t="s">
        <v>82</v>
      </c>
      <c r="I459" s="10">
        <v>283</v>
      </c>
      <c r="J459" s="7" t="s">
        <v>46</v>
      </c>
      <c r="K459" s="11">
        <v>0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3">
        <v>0.14000000000000001</v>
      </c>
      <c r="U459" s="13">
        <v>3.3000000000000002E-2</v>
      </c>
      <c r="V459" s="15">
        <v>0.16839999999999999</v>
      </c>
    </row>
    <row r="460" spans="1:22" ht="14.25" customHeight="1" x14ac:dyDescent="0.35">
      <c r="A460" s="6" t="s">
        <v>217</v>
      </c>
      <c r="B460" s="7" t="s">
        <v>218</v>
      </c>
      <c r="C460" s="7" t="s">
        <v>401</v>
      </c>
      <c r="D460" s="7" t="s">
        <v>402</v>
      </c>
      <c r="E460" s="7" t="s">
        <v>403</v>
      </c>
      <c r="F460" s="7" t="s">
        <v>404</v>
      </c>
      <c r="G460" s="7" t="s">
        <v>86</v>
      </c>
      <c r="H460" s="7" t="s">
        <v>65</v>
      </c>
      <c r="I460" s="10">
        <v>12834</v>
      </c>
      <c r="J460" s="7" t="s">
        <v>46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3">
        <v>0.14000000000000001</v>
      </c>
      <c r="U460" s="13">
        <v>3.3000000000000002E-2</v>
      </c>
      <c r="V460" s="15">
        <v>0.16839999999999999</v>
      </c>
    </row>
    <row r="461" spans="1:22" ht="14.25" customHeight="1" x14ac:dyDescent="0.35">
      <c r="A461" s="6" t="s">
        <v>209</v>
      </c>
      <c r="B461" s="7" t="s">
        <v>210</v>
      </c>
      <c r="C461" s="7" t="s">
        <v>401</v>
      </c>
      <c r="D461" s="7" t="s">
        <v>402</v>
      </c>
      <c r="E461" s="7" t="s">
        <v>405</v>
      </c>
      <c r="F461" s="7" t="s">
        <v>406</v>
      </c>
      <c r="G461" s="7" t="s">
        <v>102</v>
      </c>
      <c r="H461" s="7" t="s">
        <v>102</v>
      </c>
      <c r="I461" s="10">
        <v>2</v>
      </c>
      <c r="J461" s="7" t="s">
        <v>46</v>
      </c>
      <c r="K461" s="11">
        <v>0</v>
      </c>
      <c r="L461" s="11">
        <v>0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3">
        <v>0.14000000000000001</v>
      </c>
      <c r="U461" s="13">
        <v>3.3000000000000002E-2</v>
      </c>
      <c r="V461" s="15">
        <v>0.16839999999999999</v>
      </c>
    </row>
    <row r="462" spans="1:22" ht="14.25" customHeight="1" x14ac:dyDescent="0.35">
      <c r="A462" s="6" t="s">
        <v>209</v>
      </c>
      <c r="B462" s="7" t="s">
        <v>210</v>
      </c>
      <c r="C462" s="7" t="s">
        <v>401</v>
      </c>
      <c r="D462" s="7" t="s">
        <v>402</v>
      </c>
      <c r="E462" s="7" t="s">
        <v>407</v>
      </c>
      <c r="F462" s="7" t="s">
        <v>408</v>
      </c>
      <c r="G462" s="7" t="s">
        <v>159</v>
      </c>
      <c r="H462" s="7" t="s">
        <v>111</v>
      </c>
      <c r="I462" s="10">
        <v>360</v>
      </c>
      <c r="J462" s="7" t="s">
        <v>46</v>
      </c>
      <c r="K462" s="11">
        <v>0</v>
      </c>
      <c r="L462" s="11">
        <v>0</v>
      </c>
      <c r="M462" s="11">
        <v>0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3">
        <v>0.14000000000000001</v>
      </c>
      <c r="U462" s="13">
        <v>3.3000000000000002E-2</v>
      </c>
      <c r="V462" s="15">
        <v>0.16839999999999999</v>
      </c>
    </row>
    <row r="463" spans="1:22" ht="14.25" customHeight="1" x14ac:dyDescent="0.35">
      <c r="A463" s="6" t="s">
        <v>217</v>
      </c>
      <c r="B463" s="7" t="s">
        <v>218</v>
      </c>
      <c r="C463" s="7" t="s">
        <v>401</v>
      </c>
      <c r="D463" s="7" t="s">
        <v>402</v>
      </c>
      <c r="E463" s="7" t="s">
        <v>407</v>
      </c>
      <c r="F463" s="7" t="s">
        <v>408</v>
      </c>
      <c r="G463" s="7" t="s">
        <v>86</v>
      </c>
      <c r="H463" s="7" t="s">
        <v>65</v>
      </c>
      <c r="I463" s="10">
        <v>23840</v>
      </c>
      <c r="J463" s="7" t="s">
        <v>46</v>
      </c>
      <c r="K463" s="11">
        <v>0</v>
      </c>
      <c r="L463" s="11">
        <v>0</v>
      </c>
      <c r="M463" s="11">
        <v>0</v>
      </c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3">
        <v>0.14000000000000001</v>
      </c>
      <c r="U463" s="13">
        <v>3.3000000000000002E-2</v>
      </c>
      <c r="V463" s="15">
        <v>0.16839999999999999</v>
      </c>
    </row>
    <row r="464" spans="1:22" ht="14.25" customHeight="1" x14ac:dyDescent="0.35">
      <c r="A464" s="6" t="s">
        <v>217</v>
      </c>
      <c r="B464" s="7" t="s">
        <v>218</v>
      </c>
      <c r="C464" s="7" t="s">
        <v>401</v>
      </c>
      <c r="D464" s="7" t="s">
        <v>402</v>
      </c>
      <c r="E464" s="7" t="s">
        <v>409</v>
      </c>
      <c r="F464" s="7" t="s">
        <v>410</v>
      </c>
      <c r="G464" s="7" t="s">
        <v>86</v>
      </c>
      <c r="H464" s="7" t="s">
        <v>411</v>
      </c>
      <c r="I464" s="10">
        <v>1140</v>
      </c>
      <c r="J464" s="7" t="s">
        <v>46</v>
      </c>
      <c r="K464" s="11">
        <v>0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3">
        <v>0.14000000000000001</v>
      </c>
      <c r="U464" s="13">
        <v>3.3000000000000002E-2</v>
      </c>
      <c r="V464" s="15">
        <v>0.16839999999999999</v>
      </c>
    </row>
    <row r="465" spans="1:22" ht="14.25" customHeight="1" x14ac:dyDescent="0.35">
      <c r="A465" s="6" t="s">
        <v>209</v>
      </c>
      <c r="B465" s="7" t="s">
        <v>210</v>
      </c>
      <c r="C465" s="7" t="s">
        <v>401</v>
      </c>
      <c r="D465" s="7" t="s">
        <v>402</v>
      </c>
      <c r="E465" s="7" t="s">
        <v>412</v>
      </c>
      <c r="F465" s="7" t="s">
        <v>413</v>
      </c>
      <c r="G465" s="7" t="s">
        <v>153</v>
      </c>
      <c r="H465" s="7" t="s">
        <v>65</v>
      </c>
      <c r="I465" s="10">
        <v>0</v>
      </c>
      <c r="J465" s="7" t="s">
        <v>66</v>
      </c>
      <c r="K465" s="11">
        <v>0</v>
      </c>
      <c r="L465" s="11">
        <v>0</v>
      </c>
      <c r="M465" s="11">
        <v>0</v>
      </c>
      <c r="N465" s="11">
        <v>0</v>
      </c>
      <c r="O465" s="11">
        <v>0</v>
      </c>
      <c r="P465" s="11">
        <v>0</v>
      </c>
      <c r="Q465" s="11">
        <v>0</v>
      </c>
      <c r="R465" s="11">
        <v>1.0000000000000001E-5</v>
      </c>
      <c r="S465" s="11">
        <v>1.0000000000000001E-5</v>
      </c>
      <c r="T465" s="13">
        <v>0.14000000000000001</v>
      </c>
      <c r="U465" s="13">
        <v>3.3000000000000002E-2</v>
      </c>
      <c r="V465" s="15">
        <v>0.16839999999999999</v>
      </c>
    </row>
    <row r="466" spans="1:22" ht="14.25" customHeight="1" x14ac:dyDescent="0.35">
      <c r="A466" s="6" t="s">
        <v>217</v>
      </c>
      <c r="B466" s="7" t="s">
        <v>218</v>
      </c>
      <c r="C466" s="7" t="s">
        <v>401</v>
      </c>
      <c r="D466" s="7" t="s">
        <v>402</v>
      </c>
      <c r="E466" s="7" t="s">
        <v>412</v>
      </c>
      <c r="F466" s="7" t="s">
        <v>413</v>
      </c>
      <c r="G466" s="7" t="s">
        <v>86</v>
      </c>
      <c r="H466" s="7" t="s">
        <v>65</v>
      </c>
      <c r="I466" s="10">
        <v>2.1000000000000001E-2</v>
      </c>
      <c r="J466" s="7" t="s">
        <v>66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3.0980000000000001E-3</v>
      </c>
      <c r="S466" s="11">
        <v>2.996E-3</v>
      </c>
      <c r="T466" s="13">
        <v>0.14000000000000001</v>
      </c>
      <c r="U466" s="13">
        <v>3.3000000000000002E-2</v>
      </c>
      <c r="V466" s="15">
        <v>0.16839999999999999</v>
      </c>
    </row>
    <row r="467" spans="1:22" ht="14.25" customHeight="1" x14ac:dyDescent="0.35">
      <c r="A467" s="6" t="s">
        <v>209</v>
      </c>
      <c r="B467" s="7" t="s">
        <v>210</v>
      </c>
      <c r="C467" s="7" t="s">
        <v>401</v>
      </c>
      <c r="D467" s="7" t="s">
        <v>402</v>
      </c>
      <c r="E467" s="7" t="s">
        <v>414</v>
      </c>
      <c r="F467" s="7" t="s">
        <v>415</v>
      </c>
      <c r="G467" s="7" t="s">
        <v>153</v>
      </c>
      <c r="H467" s="7" t="s">
        <v>65</v>
      </c>
      <c r="I467" s="10">
        <v>0</v>
      </c>
      <c r="J467" s="7" t="s">
        <v>66</v>
      </c>
      <c r="K467" s="11">
        <v>0</v>
      </c>
      <c r="L467" s="11">
        <v>0</v>
      </c>
      <c r="M467" s="11">
        <v>0</v>
      </c>
      <c r="N467" s="11">
        <v>0</v>
      </c>
      <c r="O467" s="11">
        <v>0</v>
      </c>
      <c r="P467" s="11">
        <v>0</v>
      </c>
      <c r="Q467" s="11">
        <v>0</v>
      </c>
      <c r="R467" s="11">
        <v>0</v>
      </c>
      <c r="S467" s="11">
        <v>0</v>
      </c>
      <c r="T467" s="13">
        <v>0.14000000000000001</v>
      </c>
      <c r="U467" s="13">
        <v>3.3000000000000002E-2</v>
      </c>
      <c r="V467" s="15">
        <v>0.16839999999999999</v>
      </c>
    </row>
    <row r="468" spans="1:22" ht="14.25" customHeight="1" x14ac:dyDescent="0.35">
      <c r="A468" s="6" t="s">
        <v>217</v>
      </c>
      <c r="B468" s="7" t="s">
        <v>218</v>
      </c>
      <c r="C468" s="7" t="s">
        <v>401</v>
      </c>
      <c r="D468" s="7" t="s">
        <v>402</v>
      </c>
      <c r="E468" s="7" t="s">
        <v>414</v>
      </c>
      <c r="F468" s="7" t="s">
        <v>415</v>
      </c>
      <c r="G468" s="7" t="s">
        <v>86</v>
      </c>
      <c r="H468" s="7" t="s">
        <v>65</v>
      </c>
      <c r="I468" s="10">
        <v>2.1000000000000001E-2</v>
      </c>
      <c r="J468" s="7" t="s">
        <v>66</v>
      </c>
      <c r="K468" s="11">
        <v>0</v>
      </c>
      <c r="L468" s="11">
        <v>0</v>
      </c>
      <c r="M468" s="11">
        <v>0</v>
      </c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1">
        <v>0</v>
      </c>
      <c r="T468" s="13">
        <v>0.14000000000000001</v>
      </c>
      <c r="U468" s="13">
        <v>3.3000000000000002E-2</v>
      </c>
      <c r="V468" s="15">
        <v>0.16839999999999999</v>
      </c>
    </row>
    <row r="469" spans="1:22" ht="14.25" customHeight="1" x14ac:dyDescent="0.35">
      <c r="A469" s="6" t="s">
        <v>209</v>
      </c>
      <c r="B469" s="7" t="s">
        <v>210</v>
      </c>
      <c r="C469" s="7" t="s">
        <v>401</v>
      </c>
      <c r="D469" s="7" t="s">
        <v>402</v>
      </c>
      <c r="E469" s="7" t="s">
        <v>416</v>
      </c>
      <c r="F469" s="7" t="s">
        <v>417</v>
      </c>
      <c r="G469" s="7" t="s">
        <v>111</v>
      </c>
      <c r="H469" s="7" t="s">
        <v>82</v>
      </c>
      <c r="I469" s="10">
        <v>0</v>
      </c>
      <c r="J469" s="7" t="s">
        <v>215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3">
        <v>0.14000000000000001</v>
      </c>
      <c r="U469" s="13">
        <v>3.3000000000000002E-2</v>
      </c>
      <c r="V469" s="15">
        <v>0.16839999999999999</v>
      </c>
    </row>
    <row r="470" spans="1:22" ht="14.25" customHeight="1" x14ac:dyDescent="0.35">
      <c r="A470" s="6" t="s">
        <v>217</v>
      </c>
      <c r="B470" s="7" t="s">
        <v>218</v>
      </c>
      <c r="C470" s="7" t="s">
        <v>401</v>
      </c>
      <c r="D470" s="7" t="s">
        <v>402</v>
      </c>
      <c r="E470" s="7" t="s">
        <v>416</v>
      </c>
      <c r="F470" s="7" t="s">
        <v>417</v>
      </c>
      <c r="G470" s="7" t="s">
        <v>216</v>
      </c>
      <c r="H470" s="7" t="s">
        <v>65</v>
      </c>
      <c r="I470" s="10">
        <v>5.0000000000000001E-3</v>
      </c>
      <c r="J470" s="7" t="s">
        <v>215</v>
      </c>
      <c r="K470" s="11">
        <v>0</v>
      </c>
      <c r="L470" s="11">
        <v>0</v>
      </c>
      <c r="M470" s="11">
        <v>0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3">
        <v>0.14000000000000001</v>
      </c>
      <c r="U470" s="13">
        <v>3.3000000000000002E-2</v>
      </c>
      <c r="V470" s="15">
        <v>0.16839999999999999</v>
      </c>
    </row>
    <row r="471" spans="1:22" ht="14.25" customHeight="1" x14ac:dyDescent="0.35">
      <c r="A471" s="6" t="s">
        <v>217</v>
      </c>
      <c r="B471" s="7" t="s">
        <v>218</v>
      </c>
      <c r="C471" s="7" t="s">
        <v>401</v>
      </c>
      <c r="D471" s="7" t="s">
        <v>402</v>
      </c>
      <c r="E471" s="7" t="s">
        <v>418</v>
      </c>
      <c r="F471" s="7" t="s">
        <v>419</v>
      </c>
      <c r="G471" s="7" t="s">
        <v>216</v>
      </c>
      <c r="H471" s="7" t="s">
        <v>65</v>
      </c>
      <c r="I471" s="10">
        <v>8</v>
      </c>
      <c r="J471" s="7" t="s">
        <v>46</v>
      </c>
      <c r="K471" s="11">
        <v>0</v>
      </c>
      <c r="L471" s="11">
        <v>0</v>
      </c>
      <c r="M471" s="11">
        <v>0</v>
      </c>
      <c r="N471" s="11">
        <v>0</v>
      </c>
      <c r="O471" s="11">
        <v>0</v>
      </c>
      <c r="P471" s="11">
        <v>0</v>
      </c>
      <c r="Q471" s="11">
        <v>0</v>
      </c>
      <c r="R471" s="11">
        <v>0</v>
      </c>
      <c r="S471" s="11">
        <v>0</v>
      </c>
      <c r="T471" s="13">
        <v>0.14000000000000001</v>
      </c>
      <c r="U471" s="13">
        <v>3.3000000000000002E-2</v>
      </c>
      <c r="V471" s="15">
        <v>0.16839999999999999</v>
      </c>
    </row>
    <row r="472" spans="1:22" ht="14.25" customHeight="1" x14ac:dyDescent="0.35">
      <c r="A472" s="6" t="s">
        <v>209</v>
      </c>
      <c r="B472" s="7" t="s">
        <v>210</v>
      </c>
      <c r="C472" s="7" t="s">
        <v>401</v>
      </c>
      <c r="D472" s="7" t="s">
        <v>402</v>
      </c>
      <c r="E472" s="7" t="s">
        <v>418</v>
      </c>
      <c r="F472" s="7" t="s">
        <v>419</v>
      </c>
      <c r="G472" s="7" t="s">
        <v>111</v>
      </c>
      <c r="H472" s="7" t="s">
        <v>82</v>
      </c>
      <c r="I472" s="10">
        <v>1</v>
      </c>
      <c r="J472" s="7" t="s">
        <v>46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3">
        <v>0.14000000000000001</v>
      </c>
      <c r="U472" s="13">
        <v>3.3000000000000002E-2</v>
      </c>
      <c r="V472" s="15">
        <v>0.16839999999999999</v>
      </c>
    </row>
    <row r="473" spans="1:22" ht="14.25" customHeight="1" x14ac:dyDescent="0.35">
      <c r="A473" s="6" t="s">
        <v>40</v>
      </c>
      <c r="B473" s="7" t="s">
        <v>41</v>
      </c>
      <c r="C473" s="7" t="s">
        <v>420</v>
      </c>
      <c r="D473" s="7" t="s">
        <v>421</v>
      </c>
      <c r="E473" s="7" t="s">
        <v>422</v>
      </c>
      <c r="F473" s="7" t="s">
        <v>423</v>
      </c>
      <c r="G473" s="7" t="s">
        <v>229</v>
      </c>
      <c r="H473" s="7" t="s">
        <v>59</v>
      </c>
      <c r="I473" s="10">
        <v>1399</v>
      </c>
      <c r="J473" s="7" t="s">
        <v>46</v>
      </c>
      <c r="K473" s="11">
        <v>0</v>
      </c>
      <c r="L473" s="11">
        <v>0</v>
      </c>
      <c r="M473" s="11">
        <v>0</v>
      </c>
      <c r="N473" s="11">
        <v>0</v>
      </c>
      <c r="O473" s="11">
        <v>0</v>
      </c>
      <c r="P473" s="11">
        <v>0</v>
      </c>
      <c r="Q473" s="11">
        <v>0</v>
      </c>
      <c r="R473" s="11">
        <v>8.4219799999999996</v>
      </c>
      <c r="S473" s="11">
        <v>8.1440549999999998</v>
      </c>
      <c r="T473" s="13">
        <v>0.14000000000000001</v>
      </c>
      <c r="U473" s="13">
        <v>3.3000000000000002E-2</v>
      </c>
      <c r="V473" s="15">
        <v>0.16839999999999999</v>
      </c>
    </row>
    <row r="474" spans="1:22" ht="14.25" customHeight="1" x14ac:dyDescent="0.35">
      <c r="A474" s="6" t="s">
        <v>47</v>
      </c>
      <c r="B474" s="7" t="s">
        <v>48</v>
      </c>
      <c r="C474" s="7" t="s">
        <v>420</v>
      </c>
      <c r="D474" s="7" t="s">
        <v>421</v>
      </c>
      <c r="E474" s="7" t="s">
        <v>422</v>
      </c>
      <c r="F474" s="7" t="s">
        <v>423</v>
      </c>
      <c r="G474" s="7" t="s">
        <v>64</v>
      </c>
      <c r="H474" s="7" t="s">
        <v>65</v>
      </c>
      <c r="I474" s="10">
        <v>30808</v>
      </c>
      <c r="J474" s="7" t="s">
        <v>46</v>
      </c>
      <c r="K474" s="11">
        <v>0</v>
      </c>
      <c r="L474" s="11">
        <v>0</v>
      </c>
      <c r="M474" s="11">
        <v>0</v>
      </c>
      <c r="N474" s="11">
        <v>0</v>
      </c>
      <c r="O474" s="11">
        <v>0</v>
      </c>
      <c r="P474" s="11">
        <v>0</v>
      </c>
      <c r="Q474" s="11">
        <v>0</v>
      </c>
      <c r="R474" s="11">
        <v>185.46415999999999</v>
      </c>
      <c r="S474" s="11">
        <v>179.34384299999999</v>
      </c>
      <c r="T474" s="13">
        <v>0.14000000000000001</v>
      </c>
      <c r="U474" s="13">
        <v>3.3000000000000002E-2</v>
      </c>
      <c r="V474" s="15">
        <v>0.16839999999999999</v>
      </c>
    </row>
    <row r="475" spans="1:22" ht="14.25" customHeight="1" x14ac:dyDescent="0.35">
      <c r="A475" s="6" t="s">
        <v>49</v>
      </c>
      <c r="B475" s="7" t="s">
        <v>50</v>
      </c>
      <c r="C475" s="7" t="s">
        <v>420</v>
      </c>
      <c r="D475" s="7" t="s">
        <v>421</v>
      </c>
      <c r="E475" s="7" t="s">
        <v>422</v>
      </c>
      <c r="F475" s="7" t="s">
        <v>423</v>
      </c>
      <c r="G475" s="7" t="s">
        <v>64</v>
      </c>
      <c r="H475" s="7" t="s">
        <v>65</v>
      </c>
      <c r="I475" s="10">
        <v>4431</v>
      </c>
      <c r="J475" s="7" t="s">
        <v>46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26.674620000000001</v>
      </c>
      <c r="S475" s="11">
        <v>25.794357999999999</v>
      </c>
      <c r="T475" s="13">
        <v>0.14000000000000001</v>
      </c>
      <c r="U475" s="13">
        <v>3.3000000000000002E-2</v>
      </c>
      <c r="V475" s="15">
        <v>0.16839999999999999</v>
      </c>
    </row>
    <row r="476" spans="1:22" ht="14.25" customHeight="1" x14ac:dyDescent="0.35">
      <c r="A476" s="6" t="s">
        <v>47</v>
      </c>
      <c r="B476" s="7" t="s">
        <v>48</v>
      </c>
      <c r="C476" s="7" t="s">
        <v>420</v>
      </c>
      <c r="D476" s="7" t="s">
        <v>421</v>
      </c>
      <c r="E476" s="7" t="s">
        <v>424</v>
      </c>
      <c r="F476" s="7" t="s">
        <v>425</v>
      </c>
      <c r="G476" s="7" t="s">
        <v>64</v>
      </c>
      <c r="H476" s="7" t="s">
        <v>65</v>
      </c>
      <c r="I476" s="10">
        <v>309535</v>
      </c>
      <c r="J476" s="7" t="s">
        <v>46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3194.4011999999998</v>
      </c>
      <c r="S476" s="11">
        <v>3088.98596</v>
      </c>
      <c r="T476" s="13">
        <v>0.14000000000000001</v>
      </c>
      <c r="U476" s="13">
        <v>3.3000000000000002E-2</v>
      </c>
      <c r="V476" s="15">
        <v>0.16839999999999999</v>
      </c>
    </row>
    <row r="477" spans="1:22" ht="14.25" customHeight="1" x14ac:dyDescent="0.35">
      <c r="A477" s="6" t="s">
        <v>40</v>
      </c>
      <c r="B477" s="7" t="s">
        <v>41</v>
      </c>
      <c r="C477" s="7" t="s">
        <v>420</v>
      </c>
      <c r="D477" s="7" t="s">
        <v>421</v>
      </c>
      <c r="E477" s="7" t="s">
        <v>424</v>
      </c>
      <c r="F477" s="7" t="s">
        <v>425</v>
      </c>
      <c r="G477" s="7" t="s">
        <v>229</v>
      </c>
      <c r="H477" s="7" t="s">
        <v>119</v>
      </c>
      <c r="I477" s="10">
        <v>2384</v>
      </c>
      <c r="J477" s="7" t="s">
        <v>46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24.602879999999999</v>
      </c>
      <c r="S477" s="11">
        <v>23.790984999999999</v>
      </c>
      <c r="T477" s="13">
        <v>0.14000000000000001</v>
      </c>
      <c r="U477" s="13">
        <v>3.3000000000000002E-2</v>
      </c>
      <c r="V477" s="15">
        <v>0.16839999999999999</v>
      </c>
    </row>
    <row r="478" spans="1:22" ht="14.25" customHeight="1" x14ac:dyDescent="0.35">
      <c r="A478" s="6" t="s">
        <v>49</v>
      </c>
      <c r="B478" s="7" t="s">
        <v>50</v>
      </c>
      <c r="C478" s="7" t="s">
        <v>420</v>
      </c>
      <c r="D478" s="7" t="s">
        <v>421</v>
      </c>
      <c r="E478" s="7" t="s">
        <v>424</v>
      </c>
      <c r="F478" s="7" t="s">
        <v>425</v>
      </c>
      <c r="G478" s="7" t="s">
        <v>64</v>
      </c>
      <c r="H478" s="7" t="s">
        <v>65</v>
      </c>
      <c r="I478" s="10">
        <v>6345</v>
      </c>
      <c r="J478" s="7" t="s">
        <v>46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65.480400000000003</v>
      </c>
      <c r="S478" s="11">
        <v>63.319547</v>
      </c>
      <c r="T478" s="13">
        <v>0.14000000000000001</v>
      </c>
      <c r="U478" s="13">
        <v>3.3000000000000002E-2</v>
      </c>
      <c r="V478" s="15">
        <v>0.16839999999999999</v>
      </c>
    </row>
    <row r="479" spans="1:22" ht="14.25" customHeight="1" x14ac:dyDescent="0.35">
      <c r="A479" s="6" t="s">
        <v>49</v>
      </c>
      <c r="B479" s="7" t="s">
        <v>50</v>
      </c>
      <c r="C479" s="7" t="s">
        <v>426</v>
      </c>
      <c r="D479" s="7" t="s">
        <v>427</v>
      </c>
      <c r="E479" s="7" t="s">
        <v>428</v>
      </c>
      <c r="F479" s="7" t="s">
        <v>429</v>
      </c>
      <c r="G479" s="7" t="s">
        <v>86</v>
      </c>
      <c r="H479" s="7" t="s">
        <v>65</v>
      </c>
      <c r="I479" s="10">
        <v>752370.75</v>
      </c>
      <c r="J479" s="7" t="s">
        <v>46</v>
      </c>
      <c r="K479" s="11">
        <v>0</v>
      </c>
      <c r="L479" s="11">
        <v>0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3">
        <v>0.14000000000000001</v>
      </c>
      <c r="U479" s="13">
        <v>3.3000000000000002E-2</v>
      </c>
      <c r="V479" s="15">
        <v>0.16839999999999999</v>
      </c>
    </row>
    <row r="480" spans="1:22" ht="14.25" customHeight="1" x14ac:dyDescent="0.35">
      <c r="A480" s="6" t="s">
        <v>47</v>
      </c>
      <c r="B480" s="7" t="s">
        <v>48</v>
      </c>
      <c r="C480" s="7" t="s">
        <v>426</v>
      </c>
      <c r="D480" s="7" t="s">
        <v>427</v>
      </c>
      <c r="E480" s="7" t="s">
        <v>428</v>
      </c>
      <c r="F480" s="7" t="s">
        <v>429</v>
      </c>
      <c r="G480" s="7" t="s">
        <v>86</v>
      </c>
      <c r="H480" s="7" t="s">
        <v>65</v>
      </c>
      <c r="I480" s="10">
        <v>37472368.75</v>
      </c>
      <c r="J480" s="7" t="s">
        <v>46</v>
      </c>
      <c r="K480" s="11">
        <v>0</v>
      </c>
      <c r="L480" s="11">
        <v>0</v>
      </c>
      <c r="M480" s="11">
        <v>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3">
        <v>0.14000000000000001</v>
      </c>
      <c r="U480" s="13">
        <v>3.3000000000000002E-2</v>
      </c>
      <c r="V480" s="15">
        <v>0.16839999999999999</v>
      </c>
    </row>
    <row r="481" spans="1:22" ht="14.25" customHeight="1" x14ac:dyDescent="0.35">
      <c r="A481" s="6" t="s">
        <v>40</v>
      </c>
      <c r="B481" s="7" t="s">
        <v>41</v>
      </c>
      <c r="C481" s="7" t="s">
        <v>426</v>
      </c>
      <c r="D481" s="7" t="s">
        <v>427</v>
      </c>
      <c r="E481" s="7" t="s">
        <v>428</v>
      </c>
      <c r="F481" s="7" t="s">
        <v>429</v>
      </c>
      <c r="G481" s="7" t="s">
        <v>76</v>
      </c>
      <c r="H481" s="7" t="s">
        <v>59</v>
      </c>
      <c r="I481" s="10">
        <v>129115.25</v>
      </c>
      <c r="J481" s="7" t="s">
        <v>46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3">
        <v>0.14000000000000001</v>
      </c>
      <c r="U481" s="13">
        <v>3.3000000000000002E-2</v>
      </c>
      <c r="V481" s="15">
        <v>0.16839999999999999</v>
      </c>
    </row>
  </sheetData>
  <mergeCells count="8">
    <mergeCell ref="B7:E7"/>
    <mergeCell ref="B8:E8"/>
    <mergeCell ref="B9:E9"/>
    <mergeCell ref="A2:B2"/>
    <mergeCell ref="A3:B3"/>
    <mergeCell ref="B4:E4"/>
    <mergeCell ref="B5:E5"/>
    <mergeCell ref="B6:E6"/>
  </mergeCells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C8F7-8698-48EC-ADBC-556C2E99B514}">
  <dimension ref="A2:V18"/>
  <sheetViews>
    <sheetView topLeftCell="F1" workbookViewId="0">
      <selection activeCell="O3" sqref="O3:O10"/>
    </sheetView>
  </sheetViews>
  <sheetFormatPr defaultRowHeight="14.5" x14ac:dyDescent="0.35"/>
  <cols>
    <col min="2" max="2" width="11.7265625" customWidth="1"/>
    <col min="7" max="7" width="9.54296875" customWidth="1"/>
    <col min="8" max="8" width="14.08984375" customWidth="1"/>
    <col min="9" max="9" width="12" customWidth="1"/>
    <col min="12" max="12" width="12.1796875" customWidth="1"/>
    <col min="13" max="13" width="13" customWidth="1"/>
    <col min="14" max="14" width="10.6328125" customWidth="1"/>
    <col min="15" max="16" width="12.6328125" customWidth="1"/>
    <col min="18" max="18" width="11.1796875" customWidth="1"/>
    <col min="19" max="19" width="11.6328125" customWidth="1"/>
  </cols>
  <sheetData>
    <row r="2" spans="1:22" ht="14.25" customHeight="1" x14ac:dyDescent="0.35">
      <c r="A2" s="16" t="s">
        <v>0</v>
      </c>
      <c r="B2" s="17"/>
    </row>
    <row r="3" spans="1:22" ht="14.25" customHeight="1" x14ac:dyDescent="0.35">
      <c r="A3" s="17"/>
      <c r="B3" s="17"/>
      <c r="J3" s="2"/>
      <c r="K3" s="2"/>
      <c r="L3" s="2"/>
      <c r="M3" s="2" t="s">
        <v>1</v>
      </c>
      <c r="N3" s="2" t="s">
        <v>2</v>
      </c>
      <c r="O3" s="3">
        <f>SUM(R13:R18)</f>
        <v>11216.034999</v>
      </c>
      <c r="P3" s="2"/>
    </row>
    <row r="4" spans="1:22" ht="14.25" customHeight="1" x14ac:dyDescent="0.35">
      <c r="A4" s="1" t="s">
        <v>3</v>
      </c>
      <c r="B4" s="18" t="s">
        <v>4</v>
      </c>
      <c r="C4" s="17"/>
      <c r="D4" s="17"/>
      <c r="E4" s="17"/>
      <c r="J4" s="2"/>
      <c r="K4" s="2"/>
      <c r="L4" s="2"/>
      <c r="M4" s="2" t="s">
        <v>5</v>
      </c>
      <c r="N4" s="2" t="s">
        <v>2</v>
      </c>
      <c r="O4" s="3">
        <f>SUM(S13:S18)</f>
        <v>11202.305844</v>
      </c>
      <c r="P4" s="2"/>
    </row>
    <row r="5" spans="1:22" ht="14.25" customHeight="1" x14ac:dyDescent="0.35">
      <c r="A5" s="1" t="s">
        <v>6</v>
      </c>
      <c r="B5" s="18"/>
      <c r="C5" s="17"/>
      <c r="D5" s="17"/>
      <c r="E5" s="17"/>
      <c r="J5" s="2"/>
      <c r="K5" s="2"/>
      <c r="L5" s="2"/>
      <c r="M5" s="2" t="s">
        <v>7</v>
      </c>
      <c r="N5" s="2">
        <v>32.265000000000001</v>
      </c>
      <c r="O5" s="4">
        <f>O4*N5</f>
        <v>361442.39805666002</v>
      </c>
      <c r="P5" s="2"/>
    </row>
    <row r="6" spans="1:22" ht="14.25" customHeight="1" x14ac:dyDescent="0.35">
      <c r="B6" s="18"/>
      <c r="C6" s="17"/>
      <c r="D6" s="17"/>
      <c r="E6" s="17"/>
      <c r="J6" s="2"/>
      <c r="K6" s="2"/>
      <c r="L6" s="2"/>
      <c r="M6" s="2"/>
      <c r="N6" s="2"/>
      <c r="O6" s="4"/>
      <c r="P6" s="4"/>
    </row>
    <row r="7" spans="1:22" ht="14.25" customHeight="1" x14ac:dyDescent="0.35">
      <c r="A7" s="1" t="s">
        <v>8</v>
      </c>
      <c r="B7" s="18"/>
      <c r="C7" s="17"/>
      <c r="D7" s="17"/>
      <c r="E7" s="17"/>
      <c r="J7" s="2"/>
      <c r="K7" s="2"/>
      <c r="L7" s="2"/>
      <c r="M7" s="2"/>
      <c r="N7" s="2"/>
      <c r="O7" s="4"/>
      <c r="P7" s="2"/>
    </row>
    <row r="8" spans="1:22" ht="14.25" customHeight="1" x14ac:dyDescent="0.35">
      <c r="A8" s="1" t="s">
        <v>9</v>
      </c>
      <c r="B8" s="18" t="s">
        <v>10</v>
      </c>
      <c r="C8" s="17"/>
      <c r="D8" s="17"/>
      <c r="E8" s="17"/>
      <c r="J8" s="2"/>
      <c r="K8" s="2"/>
      <c r="L8" s="2"/>
      <c r="M8" s="2"/>
      <c r="N8" s="2"/>
      <c r="O8" s="4"/>
      <c r="P8" s="2"/>
    </row>
    <row r="9" spans="1:22" ht="14.25" customHeight="1" x14ac:dyDescent="0.35">
      <c r="A9" s="1" t="s">
        <v>11</v>
      </c>
      <c r="B9" s="18" t="s">
        <v>12</v>
      </c>
      <c r="C9" s="17"/>
      <c r="D9" s="17"/>
      <c r="E9" s="17"/>
      <c r="J9" s="2"/>
      <c r="K9" s="2"/>
      <c r="L9" s="2"/>
      <c r="M9" s="2" t="s">
        <v>13</v>
      </c>
      <c r="N9" s="2" t="s">
        <v>14</v>
      </c>
      <c r="O9" s="4">
        <f>O5*N9</f>
        <v>18072.119902833001</v>
      </c>
      <c r="P9" s="19"/>
    </row>
    <row r="10" spans="1:22" ht="14.25" customHeight="1" x14ac:dyDescent="0.35">
      <c r="A10" s="1" t="s">
        <v>15</v>
      </c>
      <c r="J10" s="2"/>
      <c r="K10" s="2"/>
      <c r="L10" s="2"/>
      <c r="M10" s="2" t="s">
        <v>16</v>
      </c>
      <c r="N10" s="2" t="s">
        <v>17</v>
      </c>
      <c r="O10" s="4">
        <f>O5+O9</f>
        <v>379514.51795949304</v>
      </c>
      <c r="P10" s="4"/>
    </row>
    <row r="11" spans="1:22" ht="14.25" customHeight="1" thickBot="1" x14ac:dyDescent="0.4">
      <c r="A11" s="1"/>
      <c r="F11" s="2"/>
      <c r="G11" s="2"/>
      <c r="H11" s="4"/>
      <c r="I11" s="4"/>
      <c r="J11" s="2"/>
      <c r="K11" s="2"/>
      <c r="L11" s="2"/>
    </row>
    <row r="12" spans="1:22" ht="15.5" thickTop="1" thickBot="1" x14ac:dyDescent="0.4">
      <c r="A12" s="5" t="s">
        <v>18</v>
      </c>
      <c r="B12" s="5" t="s">
        <v>19</v>
      </c>
      <c r="C12" s="5" t="s">
        <v>20</v>
      </c>
      <c r="D12" s="5" t="s">
        <v>21</v>
      </c>
      <c r="E12" s="5" t="s">
        <v>22</v>
      </c>
      <c r="F12" s="5" t="s">
        <v>23</v>
      </c>
      <c r="G12" s="5" t="s">
        <v>24</v>
      </c>
      <c r="H12" s="5" t="s">
        <v>25</v>
      </c>
      <c r="I12" s="5" t="s">
        <v>26</v>
      </c>
      <c r="J12" s="5" t="s">
        <v>27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5" t="s">
        <v>33</v>
      </c>
      <c r="Q12" s="5" t="s">
        <v>34</v>
      </c>
      <c r="R12" s="5" t="s">
        <v>35</v>
      </c>
      <c r="S12" s="5" t="s">
        <v>36</v>
      </c>
      <c r="T12" s="5" t="s">
        <v>37</v>
      </c>
      <c r="U12" s="5" t="s">
        <v>38</v>
      </c>
      <c r="V12" s="5" t="s">
        <v>39</v>
      </c>
    </row>
    <row r="13" spans="1:22" ht="14.25" customHeight="1" thickTop="1" x14ac:dyDescent="0.35">
      <c r="A13" s="6" t="s">
        <v>40</v>
      </c>
      <c r="B13" s="7" t="s">
        <v>41</v>
      </c>
      <c r="C13" s="7" t="s">
        <v>42</v>
      </c>
      <c r="D13" s="7" t="s">
        <v>43</v>
      </c>
      <c r="E13" s="7" t="s">
        <v>44</v>
      </c>
      <c r="F13" s="7" t="s">
        <v>45</v>
      </c>
      <c r="G13" s="8">
        <v>46050</v>
      </c>
      <c r="H13" s="9">
        <v>46053</v>
      </c>
      <c r="I13" s="10">
        <v>0</v>
      </c>
      <c r="J13" s="7" t="s">
        <v>46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2">
        <v>138.67833300000001</v>
      </c>
      <c r="S13" s="12">
        <v>134.10194799999999</v>
      </c>
      <c r="T13" s="13">
        <v>0.14000000000000001</v>
      </c>
      <c r="U13" s="13">
        <v>3.3000000000000002E-2</v>
      </c>
      <c r="V13" s="14">
        <v>0.16839999999999999</v>
      </c>
    </row>
    <row r="14" spans="1:22" ht="14.25" customHeight="1" x14ac:dyDescent="0.35">
      <c r="A14" s="6" t="s">
        <v>47</v>
      </c>
      <c r="B14" s="7" t="s">
        <v>48</v>
      </c>
      <c r="C14" s="7" t="s">
        <v>42</v>
      </c>
      <c r="D14" s="7" t="s">
        <v>43</v>
      </c>
      <c r="E14" s="7" t="s">
        <v>44</v>
      </c>
      <c r="F14" s="7" t="s">
        <v>45</v>
      </c>
      <c r="G14" s="8">
        <v>46050</v>
      </c>
      <c r="H14" s="9">
        <v>46053</v>
      </c>
      <c r="I14" s="10">
        <v>0</v>
      </c>
      <c r="J14" s="7" t="s">
        <v>46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2">
        <v>138.67833300000001</v>
      </c>
      <c r="S14" s="12">
        <v>134.10194799999999</v>
      </c>
      <c r="T14" s="13">
        <v>0.14000000000000001</v>
      </c>
      <c r="U14" s="13">
        <v>3.3000000000000002E-2</v>
      </c>
      <c r="V14" s="13">
        <v>0.16839999999999999</v>
      </c>
    </row>
    <row r="15" spans="1:22" ht="14.25" customHeight="1" x14ac:dyDescent="0.35">
      <c r="A15" s="6" t="s">
        <v>49</v>
      </c>
      <c r="B15" s="7" t="s">
        <v>50</v>
      </c>
      <c r="C15" s="7" t="s">
        <v>42</v>
      </c>
      <c r="D15" s="7" t="s">
        <v>43</v>
      </c>
      <c r="E15" s="7" t="s">
        <v>44</v>
      </c>
      <c r="F15" s="7" t="s">
        <v>45</v>
      </c>
      <c r="G15" s="8">
        <v>46050</v>
      </c>
      <c r="H15" s="9">
        <v>46053</v>
      </c>
      <c r="I15" s="10">
        <v>0</v>
      </c>
      <c r="J15" s="7" t="s">
        <v>46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2">
        <v>138.67833300000001</v>
      </c>
      <c r="S15" s="12">
        <v>134.10194799999999</v>
      </c>
      <c r="T15" s="13">
        <v>0.14000000000000001</v>
      </c>
      <c r="U15" s="13">
        <v>3.3000000000000002E-2</v>
      </c>
      <c r="V15" s="13">
        <v>0.16839999999999999</v>
      </c>
    </row>
    <row r="16" spans="1:22" ht="14.25" customHeight="1" x14ac:dyDescent="0.35">
      <c r="A16" s="6"/>
      <c r="B16" s="7"/>
      <c r="C16" s="7"/>
      <c r="D16" s="7"/>
      <c r="E16" s="7" t="s">
        <v>51</v>
      </c>
      <c r="F16" s="7"/>
      <c r="G16" s="8">
        <v>46054</v>
      </c>
      <c r="H16" s="9">
        <v>46081</v>
      </c>
      <c r="I16" s="10"/>
      <c r="J16" s="7"/>
      <c r="K16" s="11"/>
      <c r="L16" s="11"/>
      <c r="M16" s="11"/>
      <c r="N16" s="11"/>
      <c r="O16" s="11"/>
      <c r="P16" s="11"/>
      <c r="Q16" s="11"/>
      <c r="R16" s="12">
        <v>3600</v>
      </c>
      <c r="S16" s="12">
        <v>3600</v>
      </c>
      <c r="T16" s="13"/>
      <c r="U16" s="13"/>
      <c r="V16" s="13"/>
    </row>
    <row r="17" spans="1:22" ht="14.25" customHeight="1" x14ac:dyDescent="0.35">
      <c r="A17" s="6"/>
      <c r="B17" s="7"/>
      <c r="C17" s="7"/>
      <c r="D17" s="7"/>
      <c r="E17" s="7" t="s">
        <v>52</v>
      </c>
      <c r="F17" s="7"/>
      <c r="G17" s="8">
        <v>46082</v>
      </c>
      <c r="H17" s="9">
        <v>46112</v>
      </c>
      <c r="I17" s="10"/>
      <c r="J17" s="7"/>
      <c r="K17" s="11"/>
      <c r="L17" s="11"/>
      <c r="M17" s="11"/>
      <c r="N17" s="11"/>
      <c r="O17" s="11"/>
      <c r="P17" s="11"/>
      <c r="Q17" s="11"/>
      <c r="R17" s="12">
        <v>3600</v>
      </c>
      <c r="S17" s="12">
        <v>3600</v>
      </c>
      <c r="T17" s="13"/>
      <c r="U17" s="13"/>
      <c r="V17" s="13"/>
    </row>
    <row r="18" spans="1:22" ht="14.25" customHeight="1" x14ac:dyDescent="0.35">
      <c r="A18" s="6"/>
      <c r="B18" s="7"/>
      <c r="C18" s="7"/>
      <c r="D18" s="7"/>
      <c r="E18" s="7" t="s">
        <v>53</v>
      </c>
      <c r="F18" s="7"/>
      <c r="G18" s="8">
        <v>46113</v>
      </c>
      <c r="H18" s="9">
        <v>46142</v>
      </c>
      <c r="I18" s="10"/>
      <c r="J18" s="7"/>
      <c r="K18" s="11"/>
      <c r="L18" s="11"/>
      <c r="M18" s="11"/>
      <c r="N18" s="11"/>
      <c r="O18" s="11"/>
      <c r="P18" s="11"/>
      <c r="Q18" s="11"/>
      <c r="R18" s="12">
        <v>3600</v>
      </c>
      <c r="S18" s="12">
        <v>3600</v>
      </c>
      <c r="T18" s="13"/>
      <c r="U18" s="13"/>
      <c r="V18" s="13"/>
    </row>
  </sheetData>
  <mergeCells count="8">
    <mergeCell ref="B8:E8"/>
    <mergeCell ref="B9:E9"/>
    <mergeCell ref="A2:B2"/>
    <mergeCell ref="A3:B3"/>
    <mergeCell ref="B4:E4"/>
    <mergeCell ref="B5:E5"/>
    <mergeCell ref="B6:E6"/>
    <mergeCell ref="B7:E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國泰世華</vt:lpstr>
      <vt:lpstr>APIGEE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Kate Chiang (江蕙苓)</cp:lastModifiedBy>
  <dcterms:created xsi:type="dcterms:W3CDTF">2026-04-02T04:04:25Z</dcterms:created>
  <dcterms:modified xsi:type="dcterms:W3CDTF">2026-04-07T07:22:49Z</dcterms:modified>
</cp:coreProperties>
</file>