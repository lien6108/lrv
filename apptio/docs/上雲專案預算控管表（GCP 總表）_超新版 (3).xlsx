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athayholdings365-my.sharepoint.com/personal/00596901_cathaybk_com_tw/Documents/CUB FinOps RunbooK/06_上線監控/04_雲端預算管理/"/>
    </mc:Choice>
  </mc:AlternateContent>
  <xr:revisionPtr revIDLastSave="0" documentId="8_{28FAFA83-1A36-45ED-97A3-8A2D6F8FD340}" xr6:coauthVersionLast="47" xr6:coauthVersionMax="47" xr10:uidLastSave="{00000000-0000-0000-0000-000000000000}"/>
  <bookViews>
    <workbookView xWindow="-120" yWindow="-120" windowWidth="29040" windowHeight="15720" tabRatio="828" firstSheet="4" activeTab="4" xr2:uid="{00000000-000D-0000-FFFF-FFFF00000000}"/>
  </bookViews>
  <sheets>
    <sheet name="2024 CUB上雲清單 - 01" sheetId="9" state="hidden" r:id="rId1"/>
    <sheet name="2024 CUB上雲清單 - 03" sheetId="21" state="hidden" r:id="rId2"/>
    <sheet name="2024 CUB上雲清單 - 05" sheetId="24" state="hidden" r:id="rId3"/>
    <sheet name="2024 CUB上雲清單 - 06" sheetId="25" state="hidden" r:id="rId4"/>
    <sheet name="雲端專案控管表" sheetId="33" r:id="rId5"/>
    <sheet name="部門副總" sheetId="49" r:id="rId6"/>
    <sheet name="中台發展部" sheetId="34" r:id="rId7"/>
    <sheet name="科技應用發展部" sheetId="35" r:id="rId8"/>
    <sheet name="個人金融資訊部" sheetId="36" r:id="rId9"/>
    <sheet name="核心資訊部" sheetId="37" r:id="rId10"/>
    <sheet name="財務金融資訊部" sheetId="38" r:id="rId11"/>
    <sheet name="越南胡志明市分行" sheetId="41" r:id="rId12"/>
    <sheet name="國際消金發展部" sheetId="39" r:id="rId13"/>
    <sheet name="國際資訊部" sheetId="40" r:id="rId14"/>
    <sheet name="雲端架構發展部" sheetId="42" r:id="rId15"/>
    <sheet name="資訊架構部" sheetId="43" r:id="rId16"/>
    <sheet name="資訊策略發展部" sheetId="44" r:id="rId17"/>
    <sheet name="數位雲科技發展部" sheetId="45" r:id="rId18"/>
    <sheet name="數位銀行科技部" sheetId="46" r:id="rId19"/>
    <sheet name="數位銀行發展部" sheetId="47" r:id="rId20"/>
    <sheet name="數據暨人工智慧科技部" sheetId="48" r:id="rId21"/>
    <sheet name="Actions" sheetId="17" state="hidden" r:id="rId22"/>
    <sheet name="Risks" sheetId="18" state="hidden" r:id="rId23"/>
    <sheet name="Issues" sheetId="15" state="hidden" r:id="rId24"/>
    <sheet name="Dependencies" sheetId="19" state="hidden" r:id="rId25"/>
    <sheet name="Decisions" sheetId="16" state="hidden" r:id="rId26"/>
    <sheet name="Table Data" sheetId="11" state="hidden" r:id="rId27"/>
  </sheets>
  <externalReferences>
    <externalReference r:id="rId28"/>
    <externalReference r:id="rId29"/>
    <externalReference r:id="rId30"/>
  </externalReferences>
  <definedNames>
    <definedName name="_xlnm._FilterDatabase" localSheetId="0" hidden="1">'2024 CUB上雲清單 - 01'!$A$1:$U$34</definedName>
    <definedName name="_xlnm._FilterDatabase" localSheetId="1" hidden="1">'2024 CUB上雲清單 - 03'!$A$1:$X$35</definedName>
    <definedName name="_xlnm._FilterDatabase" localSheetId="2" hidden="1">'2024 CUB上雲清單 - 05'!$A$1:$X$40</definedName>
    <definedName name="_xlnm._FilterDatabase" localSheetId="3" hidden="1">'2024 CUB上雲清單 - 06'!$A$1:$Y$45</definedName>
    <definedName name="_xlnm._FilterDatabase" localSheetId="6" hidden="1">中台發展部!$A$1:$J$7</definedName>
    <definedName name="_xlnm._FilterDatabase" localSheetId="4" hidden="1">雲端專案控管表!$A$3:$W$269</definedName>
    <definedName name="_MDGeneralPriority">'Table Data'!$F$3:$F$6</definedName>
    <definedName name="_MDGeneralStatus">'Table Data'!$B$3:$B$6</definedName>
    <definedName name="_MDProjectList">'Table Data'!#REF!</definedName>
    <definedName name="_MDUrgency">'Table Data'!$G$3:$G$6</definedName>
    <definedName name="_MDYN">'Table Data'!$D$3:$D$4</definedName>
    <definedName name="BusinessEnvironment">#REF!</definedName>
    <definedName name="Detailed">#REF!</definedName>
    <definedName name="Engagement">#REF!</definedName>
    <definedName name="FindingStatus">#REF!</definedName>
    <definedName name="ImpactRating">#REF!</definedName>
    <definedName name="ImpactType">#REF!</definedName>
    <definedName name="ImpactTypes">#REF!</definedName>
    <definedName name="Issue">#REF!</definedName>
    <definedName name="ItemType">#REF!</definedName>
    <definedName name="ItemType2">#REF!</definedName>
    <definedName name="Opportunity">#REF!</definedName>
    <definedName name="Priority">#REF!</definedName>
    <definedName name="Probability">#REF!</definedName>
    <definedName name="ProductBlocker">#REF!</definedName>
    <definedName name="Resoltion">#REF!</definedName>
    <definedName name="Resolution">#REF!</definedName>
    <definedName name="Risk_Type">[1]List!$B$2:$B$7</definedName>
    <definedName name="RiskCategory">OFFSET('[2]Risk Management'!$BL$8,0,0,COUNTA('[2]Risk Management'!$BL$8:$BL$1048576),COUNTA('[2]Risk Management'!$BL$8:$BM$8))</definedName>
    <definedName name="RiskGraph">OFFSET([2]ReferenceData!$S$3,0,0,COUNTA([2]ReferenceData!$S$3:$S$8),COUNTA([2]ReferenceData!$S$3:$XFD$3))</definedName>
    <definedName name="RiskGraphCH">OFFSET([2]ReferenceData!$S$13,0,0,COUNTA([2]ReferenceData!$S$13:$S$14),COUNTA([2]ReferenceData!$S$13:$XFD$13))</definedName>
    <definedName name="RiskGraphOverall">OFFSET([2]ReferenceData!$S$10,0,0,COUNTA([2]ReferenceData!$S$10:$S$11),COUNTA([2]ReferenceData!$S$10:$XFD$10))</definedName>
    <definedName name="RiskIssueStatus">#REF!</definedName>
    <definedName name="RiskMgmtApproach">#REF!</definedName>
    <definedName name="RiskRating">#REF!</definedName>
    <definedName name="RiskResponsePlan">#REF!</definedName>
    <definedName name="RiskResponsePlans">#REF!</definedName>
    <definedName name="RiskStatusTypes">#REF!</definedName>
    <definedName name="RiskType">#REF!</definedName>
    <definedName name="RiskTypeResponse">#REF!</definedName>
    <definedName name="Scope">#REF!</definedName>
    <definedName name="ScopeTypes">#REF!</definedName>
    <definedName name="Status">[3]Ref!$A$8:$A$12</definedName>
    <definedName name="Status_Issue">#REF!</definedName>
    <definedName name="StatusTypes">#REF!</definedName>
    <definedName name="Technical">#REF!</definedName>
    <definedName name="Threat">#REF!</definedName>
    <definedName name="Track">OFFSET('[2]Raw Data'!$B$4,0,0,COUNTA('[2]Raw Data'!$B$4:$B$27))</definedName>
    <definedName name="Value">OFFSET('[2]Risk Management'!$BM$8,0,0,COUNTA('[2]Risk Management'!$BM$8:$BM$1048576))</definedName>
    <definedName name="VSTS_15185bba_4586_4260_8f4d_11ffbfa4506a_1" hidden="1">#REF!</definedName>
    <definedName name="VSTS_15185bba_4586_4260_8f4d_11ffbfa4506a_2" hidden="1">#REF!</definedName>
    <definedName name="VSTS_15185bba_4586_4260_8f4d_11ffbfa4506a_24" hidden="1">#REF!</definedName>
    <definedName name="VSTS_15185bba_4586_4260_8f4d_11ffbfa4506a_52" hidden="1">#REF!</definedName>
    <definedName name="VSTS_15185bba_4586_4260_8f4d_11ffbfa4506a_86322" hidden="1">#REF!</definedName>
    <definedName name="VSTS_15185bba_4586_4260_8f4d_11ffbfa4506a_86391" hidden="1">#REF!</definedName>
    <definedName name="VSTS_15185bba_4586_4260_8f4d_11ffbfa4506a_n3" hidden="1">#REF!</definedName>
    <definedName name="VSTS_39fc2c17_da85_43e8_9cff_4f33c82687e0_1" hidden="1">#REF!</definedName>
    <definedName name="VSTS_39fc2c17_da85_43e8_9cff_4f33c82687e0_2" hidden="1">#REF!</definedName>
    <definedName name="VSTS_39fc2c17_da85_43e8_9cff_4f33c82687e0_24" hidden="1">#REF!</definedName>
    <definedName name="VSTS_39fc2c17_da85_43e8_9cff_4f33c82687e0_52" hidden="1">#REF!</definedName>
    <definedName name="VSTS_39fc2c17_da85_43e8_9cff_4f33c82687e0_86322" hidden="1">#REF!</definedName>
    <definedName name="VSTS_39fc2c17_da85_43e8_9cff_4f33c82687e0_86391" hidden="1">#REF!</definedName>
    <definedName name="VSTS_39fc2c17_da85_43e8_9cff_4f33c82687e0_n3" hidden="1">#REF!</definedName>
    <definedName name="VSTS_8a55482f_6678_48fa_a31a_c54ed37b47b1_1" hidden="1">#REF!</definedName>
    <definedName name="VSTS_8a55482f_6678_48fa_a31a_c54ed37b47b1_2" hidden="1">#REF!</definedName>
    <definedName name="VSTS_8a55482f_6678_48fa_a31a_c54ed37b47b1_24" hidden="1">#REF!</definedName>
    <definedName name="VSTS_8a55482f_6678_48fa_a31a_c54ed37b47b1_52" hidden="1">#REF!</definedName>
    <definedName name="VSTS_8a55482f_6678_48fa_a31a_c54ed37b47b1_86322" hidden="1">#REF!</definedName>
    <definedName name="VSTS_8a55482f_6678_48fa_a31a_c54ed37b47b1_86391" hidden="1">#REF!</definedName>
    <definedName name="VSTS_8a55482f_6678_48fa_a31a_c54ed37b47b1_n3" hidden="1">#REF!</definedName>
    <definedName name="VSTS_8a733338_adff_4e0b_9b2b_e33e11aab2e6_1" hidden="1">#REF!</definedName>
    <definedName name="VSTS_8a733338_adff_4e0b_9b2b_e33e11aab2e6_2" hidden="1">#REF!</definedName>
    <definedName name="VSTS_8a733338_adff_4e0b_9b2b_e33e11aab2e6_24" hidden="1">#REF!</definedName>
    <definedName name="VSTS_8a733338_adff_4e0b_9b2b_e33e11aab2e6_52" hidden="1">#REF!</definedName>
    <definedName name="VSTS_8a733338_adff_4e0b_9b2b_e33e11aab2e6_86322" hidden="1">#REF!</definedName>
    <definedName name="VSTS_8a733338_adff_4e0b_9b2b_e33e11aab2e6_86391" hidden="1">#REF!</definedName>
    <definedName name="VSTS_8a733338_adff_4e0b_9b2b_e33e11aab2e6_n3" hidden="1">#REF!</definedName>
    <definedName name="Week_Lang">[2]ReferenceData!$AE$3:$AF$7</definedName>
    <definedName name="Workstream">'Table Data'!#REF!</definedName>
  </definedNames>
  <calcPr calcId="191028"/>
  <pivotCaches>
    <pivotCache cacheId="85" r:id="rId3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0" i="33" l="1"/>
  <c r="G270" i="33"/>
  <c r="N268" i="33"/>
  <c r="N269" i="33"/>
  <c r="N45" i="33"/>
  <c r="N44" i="33"/>
  <c r="N43" i="33"/>
  <c r="N42" i="33"/>
  <c r="N40" i="33"/>
  <c r="N39" i="33"/>
  <c r="N38" i="33"/>
  <c r="N37" i="33"/>
  <c r="N35" i="33"/>
  <c r="N33" i="33"/>
  <c r="N32" i="33"/>
  <c r="N31" i="33"/>
  <c r="N30" i="33"/>
  <c r="N23" i="33"/>
  <c r="N21" i="33"/>
  <c r="N19" i="33"/>
  <c r="N18" i="33"/>
  <c r="N14" i="33"/>
  <c r="N13" i="33"/>
  <c r="N12" i="33"/>
  <c r="N11" i="33"/>
  <c r="N10" i="33"/>
  <c r="N9" i="33"/>
  <c r="N267" i="33"/>
  <c r="G267" i="33"/>
  <c r="N266" i="33"/>
  <c r="G266" i="33"/>
  <c r="N60" i="33"/>
  <c r="N265" i="33"/>
  <c r="G265" i="33"/>
  <c r="N264" i="33"/>
  <c r="G264" i="33"/>
  <c r="N263" i="33"/>
  <c r="N262" i="33"/>
  <c r="N259" i="33"/>
  <c r="N260" i="33"/>
  <c r="N258" i="33"/>
  <c r="G258" i="33"/>
  <c r="N57" i="33"/>
  <c r="N208" i="33"/>
  <c r="N257" i="33"/>
  <c r="N256" i="33"/>
  <c r="N78" i="33"/>
  <c r="N79" i="33"/>
  <c r="N80" i="33"/>
  <c r="G257" i="33"/>
  <c r="G256" i="33"/>
  <c r="N255" i="33"/>
  <c r="N252" i="33"/>
  <c r="N253" i="33"/>
  <c r="N254" i="33"/>
  <c r="G253" i="33"/>
  <c r="G252" i="33"/>
  <c r="N251" i="33"/>
  <c r="G251" i="33"/>
  <c r="G254" i="33"/>
  <c r="G255" i="33"/>
  <c r="G259" i="33"/>
  <c r="G260" i="33"/>
  <c r="G262" i="33"/>
  <c r="N250" i="33"/>
  <c r="N249" i="33"/>
  <c r="N248" i="33"/>
  <c r="G250" i="33"/>
  <c r="G249" i="33"/>
  <c r="G248" i="33"/>
  <c r="N247" i="33"/>
  <c r="G247" i="33"/>
  <c r="N246" i="33"/>
  <c r="G246" i="33"/>
  <c r="G245" i="33"/>
  <c r="N243" i="33"/>
  <c r="N244" i="33"/>
  <c r="G243" i="33"/>
  <c r="G244" i="33"/>
  <c r="N242" i="33"/>
  <c r="G242" i="33"/>
  <c r="N241" i="33"/>
  <c r="G241" i="33"/>
  <c r="N240" i="33" l="1"/>
  <c r="G240" i="33"/>
  <c r="G239" i="33"/>
  <c r="N239" i="33"/>
  <c r="N238" i="33"/>
  <c r="G238" i="33"/>
  <c r="N237" i="33"/>
  <c r="G237" i="33"/>
  <c r="N236" i="33"/>
  <c r="G236" i="33"/>
  <c r="G235" i="33"/>
  <c r="G171" i="33"/>
  <c r="G172" i="33"/>
  <c r="N233" i="33"/>
  <c r="N234" i="33"/>
  <c r="G233" i="33"/>
  <c r="G234" i="33"/>
  <c r="N232" i="33"/>
  <c r="G232" i="33"/>
  <c r="N231" i="33"/>
  <c r="G231" i="33"/>
  <c r="N230" i="33"/>
  <c r="G230" i="33"/>
  <c r="N229" i="33"/>
  <c r="N228" i="33"/>
  <c r="N227" i="33"/>
  <c r="G227" i="33"/>
  <c r="N226" i="33"/>
  <c r="G226" i="33"/>
  <c r="N225" i="33"/>
  <c r="G225" i="33"/>
  <c r="N224" i="33"/>
  <c r="N75" i="33"/>
  <c r="N76" i="33"/>
  <c r="N74" i="33"/>
  <c r="N223" i="33"/>
  <c r="G219" i="33"/>
  <c r="N220" i="33"/>
  <c r="N221" i="33"/>
  <c r="N222" i="33"/>
  <c r="N219" i="33"/>
  <c r="G183" i="33"/>
  <c r="G182" i="33"/>
  <c r="N218" i="33"/>
  <c r="N156" i="33"/>
  <c r="N153" i="33"/>
  <c r="N217" i="33"/>
  <c r="G49" i="33" l="1"/>
  <c r="G50" i="33"/>
  <c r="G51" i="33"/>
  <c r="G52" i="33"/>
  <c r="G53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67" i="33"/>
  <c r="G68" i="33"/>
  <c r="G69" i="33"/>
  <c r="G70" i="33"/>
  <c r="G71" i="33"/>
  <c r="G72" i="33"/>
  <c r="G73" i="33"/>
  <c r="G74" i="33"/>
  <c r="G77" i="33"/>
  <c r="G78" i="33"/>
  <c r="G79" i="33"/>
  <c r="G80" i="33"/>
  <c r="G81" i="33"/>
  <c r="G84" i="33"/>
  <c r="G85" i="33"/>
  <c r="G86" i="33"/>
  <c r="G87" i="33"/>
  <c r="G88" i="33"/>
  <c r="G89" i="33"/>
  <c r="G90" i="33"/>
  <c r="G91" i="33"/>
  <c r="G92" i="33"/>
  <c r="G93" i="33"/>
  <c r="G94" i="33"/>
  <c r="G95" i="33"/>
  <c r="G96" i="33"/>
  <c r="G97" i="33"/>
  <c r="G124" i="33"/>
  <c r="G125" i="33"/>
  <c r="G126" i="33"/>
  <c r="G127" i="33"/>
  <c r="G128" i="33"/>
  <c r="G129" i="33"/>
  <c r="G130" i="33"/>
  <c r="G131" i="33"/>
  <c r="G132" i="33"/>
  <c r="G133" i="33"/>
  <c r="G134" i="33"/>
  <c r="G135" i="33"/>
  <c r="G136" i="33"/>
  <c r="G137" i="33"/>
  <c r="G138" i="33"/>
  <c r="G139" i="33"/>
  <c r="G140" i="33"/>
  <c r="G141" i="33"/>
  <c r="G142" i="33"/>
  <c r="G143" i="33"/>
  <c r="G144" i="33"/>
  <c r="G145" i="33"/>
  <c r="G146" i="33"/>
  <c r="G147" i="33"/>
  <c r="G148" i="33"/>
  <c r="G149" i="33"/>
  <c r="G150" i="33"/>
  <c r="G151" i="33"/>
  <c r="G152" i="33"/>
  <c r="G153" i="33"/>
  <c r="G154" i="33"/>
  <c r="G155" i="33"/>
  <c r="G156" i="33"/>
  <c r="G157" i="33"/>
  <c r="G158" i="33"/>
  <c r="G159" i="33"/>
  <c r="G160" i="33"/>
  <c r="G161" i="33"/>
  <c r="G162" i="33"/>
  <c r="G163" i="33"/>
  <c r="G164" i="33"/>
  <c r="G165" i="33"/>
  <c r="G166" i="33"/>
  <c r="G167" i="33"/>
  <c r="G168" i="33"/>
  <c r="G169" i="33"/>
  <c r="G170" i="33"/>
  <c r="G173" i="33"/>
  <c r="G174" i="33"/>
  <c r="G175" i="33"/>
  <c r="G177" i="33"/>
  <c r="G178" i="33"/>
  <c r="G179" i="33"/>
  <c r="G180" i="33"/>
  <c r="G181" i="33"/>
  <c r="G184" i="33"/>
  <c r="G185" i="33"/>
  <c r="G186" i="33"/>
  <c r="G187" i="33"/>
  <c r="G188" i="33"/>
  <c r="G189" i="33"/>
  <c r="G190" i="33"/>
  <c r="G191" i="33"/>
  <c r="G192" i="33"/>
  <c r="G193" i="33"/>
  <c r="G194" i="33"/>
  <c r="G195" i="33"/>
  <c r="G196" i="33"/>
  <c r="G197" i="33"/>
  <c r="G198" i="33"/>
  <c r="G199" i="33"/>
  <c r="G200" i="33"/>
  <c r="G205" i="33"/>
  <c r="G206" i="33"/>
  <c r="G207" i="33"/>
  <c r="G208" i="33"/>
  <c r="G209" i="33"/>
  <c r="G211" i="33"/>
  <c r="G210" i="33"/>
  <c r="G212" i="33"/>
  <c r="G213" i="33"/>
  <c r="G214" i="33"/>
  <c r="G215" i="33"/>
  <c r="G216" i="33"/>
  <c r="G48" i="33" l="1"/>
  <c r="N88" i="33" l="1"/>
  <c r="N197" i="33"/>
  <c r="N204" i="33"/>
  <c r="N200" i="33"/>
  <c r="N53" i="33"/>
  <c r="N51" i="33"/>
  <c r="N52" i="33"/>
  <c r="N216" i="33"/>
  <c r="N171" i="33"/>
  <c r="N113" i="33"/>
  <c r="N97" i="33"/>
  <c r="N69" i="33"/>
  <c r="F24" i="36"/>
  <c r="F23" i="36"/>
  <c r="N68" i="33"/>
  <c r="N198" i="33"/>
  <c r="N199" i="33"/>
  <c r="N106" i="33" l="1"/>
  <c r="N107" i="33"/>
  <c r="N108" i="33"/>
  <c r="N109" i="33"/>
  <c r="N111" i="33"/>
  <c r="N112" i="33"/>
  <c r="N114" i="33"/>
  <c r="N115" i="33"/>
  <c r="N116" i="33"/>
  <c r="N117" i="33"/>
  <c r="N118" i="33"/>
  <c r="N120" i="33"/>
  <c r="N121" i="33"/>
  <c r="N122" i="33"/>
  <c r="N123" i="33"/>
  <c r="N105" i="33"/>
  <c r="N103" i="33"/>
  <c r="N102" i="33"/>
  <c r="N101" i="33"/>
  <c r="N71" i="33"/>
  <c r="O71" i="33" s="1"/>
  <c r="N72" i="33"/>
  <c r="O72" i="33" s="1"/>
  <c r="O73" i="33"/>
  <c r="N133" i="33"/>
  <c r="N134" i="33"/>
  <c r="N135" i="33"/>
  <c r="N130" i="33"/>
  <c r="N131" i="33"/>
  <c r="N132" i="33"/>
  <c r="N127" i="33"/>
  <c r="N128" i="33"/>
  <c r="N129" i="33"/>
  <c r="N124" i="33"/>
  <c r="O139" i="33"/>
  <c r="O140" i="33"/>
  <c r="O141" i="33"/>
  <c r="N209" i="33"/>
  <c r="N211" i="33"/>
  <c r="N210" i="33"/>
  <c r="F4" i="45"/>
  <c r="G4" i="45" s="1"/>
  <c r="F3" i="45"/>
  <c r="G3" i="45" s="1"/>
  <c r="G2" i="45"/>
  <c r="F13" i="41"/>
  <c r="F12" i="41"/>
  <c r="F11" i="41"/>
  <c r="F10" i="41"/>
  <c r="F9" i="41"/>
  <c r="F8" i="41"/>
  <c r="F7" i="41"/>
  <c r="F6" i="41"/>
  <c r="F5" i="41"/>
  <c r="F4" i="41"/>
  <c r="G7" i="40"/>
  <c r="G6" i="40"/>
  <c r="G5" i="40"/>
  <c r="F4" i="34"/>
  <c r="F3" i="34"/>
  <c r="F2" i="34"/>
  <c r="A18" i="25" l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3" i="25"/>
  <c r="A4" i="25" s="1"/>
  <c r="A5" i="25" s="1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8" i="24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" i="24"/>
  <c r="A4" i="24" s="1"/>
  <c r="A5" i="24" s="1"/>
  <c r="A6" i="24" s="1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8" i="2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" i="21"/>
  <c r="A4" i="21" s="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8" i="9" l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tc={92101282-9095-4259-ADE3-708657BA8187}</author>
  </authors>
  <commentList>
    <comment ref="P111" authorId="0" shapeId="0" xr:uid="{92101282-9095-4259-ADE3-708657BA818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@連昱睿 DK 4/1 完成</t>
      </text>
    </comment>
  </commentList>
</comments>
</file>

<file path=xl/sharedStrings.xml><?xml version="1.0" encoding="utf-8"?>
<sst xmlns="http://schemas.openxmlformats.org/spreadsheetml/2006/main" count="6692" uniqueCount="1411">
  <si>
    <t>No</t>
    <phoneticPr fontId="11" type="noConversion"/>
  </si>
  <si>
    <t>AP_ID</t>
    <phoneticPr fontId="11" type="noConversion"/>
  </si>
  <si>
    <t>系統名稱</t>
  </si>
  <si>
    <t>上雲範圍</t>
    <phoneticPr fontId="11" type="noConversion"/>
  </si>
  <si>
    <t>單位</t>
    <phoneticPr fontId="11" type="noConversion"/>
  </si>
  <si>
    <t>AP Owner</t>
    <phoneticPr fontId="11" type="noConversion"/>
  </si>
  <si>
    <t>PM</t>
    <phoneticPr fontId="11" type="noConversion"/>
  </si>
  <si>
    <t>板塊</t>
    <phoneticPr fontId="11" type="noConversion"/>
  </si>
  <si>
    <t>戰情室列管</t>
    <phoneticPr fontId="11" type="noConversion"/>
  </si>
  <si>
    <t>Domain Map</t>
  </si>
  <si>
    <t>上雲模式</t>
  </si>
  <si>
    <t>Cathay 6R</t>
  </si>
  <si>
    <t>狀態</t>
  </si>
  <si>
    <t>RYG Status</t>
    <phoneticPr fontId="11" type="noConversion"/>
  </si>
  <si>
    <t>階段</t>
    <phoneticPr fontId="11" type="noConversion"/>
  </si>
  <si>
    <t>專案啟動時間</t>
    <phoneticPr fontId="11" type="noConversion"/>
  </si>
  <si>
    <t>系統預計上線時間</t>
    <phoneticPr fontId="11" type="noConversion"/>
  </si>
  <si>
    <t>系統實際上線時間</t>
    <phoneticPr fontId="11" type="noConversion"/>
  </si>
  <si>
    <t>雲端環境</t>
  </si>
  <si>
    <t>備註</t>
  </si>
  <si>
    <t>執行年度</t>
    <phoneticPr fontId="11" type="noConversion"/>
  </si>
  <si>
    <t>ePOS 信用卡網路收單系統 Phase 2</t>
    <phoneticPr fontId="11" type="noConversion"/>
  </si>
  <si>
    <t>P2</t>
    <phoneticPr fontId="11" type="noConversion"/>
  </si>
  <si>
    <t>個人金融資訊部</t>
    <phoneticPr fontId="11" type="noConversion"/>
  </si>
  <si>
    <t>白陽明</t>
    <phoneticPr fontId="11" type="noConversion"/>
  </si>
  <si>
    <t>劉音余</t>
    <phoneticPr fontId="11" type="noConversion"/>
  </si>
  <si>
    <t>資訊</t>
    <phoneticPr fontId="11" type="noConversion"/>
  </si>
  <si>
    <t>Y</t>
    <phoneticPr fontId="11" type="noConversion"/>
  </si>
  <si>
    <t>應用/服務</t>
  </si>
  <si>
    <t>Cloud Migration</t>
  </si>
  <si>
    <t>規劃中</t>
    <phoneticPr fontId="11" type="noConversion"/>
  </si>
  <si>
    <t>GCP</t>
  </si>
  <si>
    <r>
      <t>APID重複, 是否列入2024
P1: CDN
P2: PoC, DB可否上雲？</t>
    </r>
    <r>
      <rPr>
        <sz val="10"/>
        <color rgb="FFC00000"/>
        <rFont val="Arial"/>
        <family val="2"/>
        <charset val="136"/>
        <scheme val="minor"/>
      </rPr>
      <t>報會範圍</t>
    </r>
    <phoneticPr fontId="11" type="noConversion"/>
  </si>
  <si>
    <t xml:space="preserve">信用卡特店風險管理系統
</t>
  </si>
  <si>
    <t>個人金融資訊部</t>
  </si>
  <si>
    <t>劉怡廷</t>
    <phoneticPr fontId="11" type="noConversion"/>
  </si>
  <si>
    <t>實作中</t>
  </si>
  <si>
    <t>2024.01上線</t>
    <phoneticPr fontId="11" type="noConversion"/>
  </si>
  <si>
    <r>
      <rPr>
        <sz val="10"/>
        <color rgb="FF000000"/>
        <rFont val="PMingLiU"/>
        <family val="1"/>
      </rPr>
      <t>法金授信</t>
    </r>
    <r>
      <rPr>
        <sz val="10"/>
        <color rgb="FF000000"/>
        <rFont val="Arial"/>
        <family val="2"/>
        <scheme val="minor"/>
      </rPr>
      <t>ESG</t>
    </r>
    <r>
      <rPr>
        <sz val="10"/>
        <color rgb="FF000000"/>
        <rFont val="PMingLiU"/>
        <family val="1"/>
      </rPr>
      <t xml:space="preserve">系統
</t>
    </r>
    <phoneticPr fontId="11" type="noConversion"/>
  </si>
  <si>
    <t>核心資訊部</t>
  </si>
  <si>
    <t>林渭智</t>
    <phoneticPr fontId="11" type="noConversion"/>
  </si>
  <si>
    <t>Cloud Native</t>
  </si>
  <si>
    <t>測試中</t>
  </si>
  <si>
    <t>●</t>
    <phoneticPr fontId="11" type="noConversion"/>
  </si>
  <si>
    <t>2024/01
2024/03?</t>
    <phoneticPr fontId="11" type="noConversion"/>
  </si>
  <si>
    <r>
      <t>2024.01</t>
    </r>
    <r>
      <rPr>
        <sz val="10"/>
        <color rgb="FF000000"/>
        <rFont val="PMingLiU"/>
        <family val="1"/>
      </rPr>
      <t>上線</t>
    </r>
    <r>
      <rPr>
        <sz val="10"/>
        <color rgb="FF000000"/>
        <rFont val="Arial"/>
        <family val="2"/>
        <scheme val="minor"/>
      </rPr>
      <t xml:space="preserve">
20240108: </t>
    </r>
    <r>
      <rPr>
        <sz val="10"/>
        <color rgb="FF000000"/>
        <rFont val="PMingLiU"/>
        <family val="1"/>
      </rPr>
      <t>同步</t>
    </r>
    <r>
      <rPr>
        <sz val="10"/>
        <color rgb="FF000000"/>
        <rFont val="Arial"/>
        <family val="2"/>
        <scheme val="minor"/>
      </rPr>
      <t>ESG</t>
    </r>
    <r>
      <rPr>
        <sz val="10"/>
        <color rgb="FF000000"/>
        <rFont val="PMingLiU"/>
        <family val="1"/>
      </rPr>
      <t>狀況，週末執行</t>
    </r>
    <r>
      <rPr>
        <sz val="10"/>
        <color rgb="FF000000"/>
        <rFont val="Arial"/>
        <family val="2"/>
        <scheme val="minor"/>
      </rPr>
      <t>UAT</t>
    </r>
    <r>
      <rPr>
        <sz val="10"/>
        <color rgb="FF000000"/>
        <rFont val="PMingLiU"/>
        <family val="1"/>
      </rPr>
      <t>大規模測試的</t>
    </r>
    <r>
      <rPr>
        <sz val="10"/>
        <color rgb="FF000000"/>
        <rFont val="Arial"/>
        <family val="2"/>
        <scheme val="minor"/>
      </rPr>
      <t>AI</t>
    </r>
    <r>
      <rPr>
        <sz val="10"/>
        <color rgb="FF000000"/>
        <rFont val="PMingLiU"/>
        <family val="1"/>
      </rPr>
      <t>評分至最後三小時的時候發生資源搶佔（</t>
    </r>
    <r>
      <rPr>
        <sz val="10"/>
        <color rgb="FF000000"/>
        <rFont val="Arial"/>
        <family val="2"/>
        <scheme val="minor"/>
      </rPr>
      <t xml:space="preserve">AI </t>
    </r>
    <r>
      <rPr>
        <sz val="10"/>
        <color rgb="FF000000"/>
        <rFont val="PMingLiU"/>
        <family val="1"/>
      </rPr>
      <t>的</t>
    </r>
    <r>
      <rPr>
        <sz val="10"/>
        <color rgb="FF000000"/>
        <rFont val="Arial"/>
        <family val="2"/>
        <scheme val="minor"/>
      </rPr>
      <t xml:space="preserve"> cloud run </t>
    </r>
    <r>
      <rPr>
        <sz val="10"/>
        <color rgb="FF000000"/>
        <rFont val="PMingLiU"/>
        <family val="1"/>
      </rPr>
      <t>發生已經設定最少一台機器運行，資源還是被回收並被新機器取代的情形），故沒辦法順利產出結果檔，雲端團隊今日將討論處理方式</t>
    </r>
    <phoneticPr fontId="11" type="noConversion"/>
  </si>
  <si>
    <t>信用卡紅利票券平台</t>
    <phoneticPr fontId="11" type="noConversion"/>
  </si>
  <si>
    <t>何政軒</t>
    <phoneticPr fontId="11" type="noConversion"/>
  </si>
  <si>
    <r>
      <t>Tracy&gt;</t>
    </r>
    <r>
      <rPr>
        <sz val="10"/>
        <color rgb="FF000000"/>
        <rFont val="Microsoft JhengHei"/>
        <family val="2"/>
        <charset val="136"/>
      </rPr>
      <t>音余</t>
    </r>
    <phoneticPr fontId="11" type="noConversion"/>
  </si>
  <si>
    <r>
      <t>MR APP dependency (</t>
    </r>
    <r>
      <rPr>
        <sz val="10"/>
        <color rgb="FF000000"/>
        <rFont val="PMingLiU"/>
        <family val="1"/>
      </rPr>
      <t>已有既有的</t>
    </r>
    <r>
      <rPr>
        <sz val="10"/>
        <color rgb="FF000000"/>
        <rFont val="Arial"/>
        <family val="2"/>
        <scheme val="minor"/>
      </rPr>
      <t>Roadmap)</t>
    </r>
    <phoneticPr fontId="11" type="noConversion"/>
  </si>
  <si>
    <r>
      <rPr>
        <sz val="10"/>
        <color rgb="FF000000"/>
        <rFont val="PMingLiU"/>
        <family val="1"/>
      </rPr>
      <t>官網線上櫃檯</t>
    </r>
    <r>
      <rPr>
        <sz val="10"/>
        <color rgb="FF000000"/>
        <rFont val="Arial"/>
        <family val="2"/>
        <scheme val="minor"/>
      </rPr>
      <t>P2</t>
    </r>
    <phoneticPr fontId="11" type="noConversion"/>
  </si>
  <si>
    <t>P1-2, P2</t>
    <phoneticPr fontId="11" type="noConversion"/>
  </si>
  <si>
    <t>數位銀行科技部</t>
    <phoneticPr fontId="11" type="noConversion"/>
  </si>
  <si>
    <t>黃詩哲</t>
    <phoneticPr fontId="11" type="noConversion"/>
  </si>
  <si>
    <r>
      <t>Tracy&gt;</t>
    </r>
    <r>
      <rPr>
        <sz val="10"/>
        <color rgb="FF000000"/>
        <rFont val="PMingLiU"/>
        <family val="1"/>
      </rPr>
      <t>數位陳俊安</t>
    </r>
    <phoneticPr fontId="11" type="noConversion"/>
  </si>
  <si>
    <t>數位</t>
    <phoneticPr fontId="11" type="noConversion"/>
  </si>
  <si>
    <r>
      <t>2023: P1-1</t>
    </r>
    <r>
      <rPr>
        <sz val="10"/>
        <color rgb="FFC00000"/>
        <rFont val="PMingLiU"/>
        <family val="1"/>
      </rPr>
      <t>上線</t>
    </r>
    <r>
      <rPr>
        <sz val="10"/>
        <color rgb="FFC00000"/>
        <rFont val="Arial"/>
        <family val="2"/>
        <scheme val="minor"/>
      </rPr>
      <t xml:space="preserve">, 
2024: </t>
    </r>
    <r>
      <rPr>
        <sz val="10"/>
        <color rgb="FFC00000"/>
        <rFont val="PMingLiU"/>
        <family val="1"/>
      </rPr>
      <t>官網線上櫃檯</t>
    </r>
    <r>
      <rPr>
        <sz val="10"/>
        <color rgb="FFC00000"/>
        <rFont val="Arial"/>
        <family val="2"/>
        <scheme val="minor"/>
      </rPr>
      <t xml:space="preserve"> (P1-2&amp;P2)
</t>
    </r>
    <r>
      <rPr>
        <sz val="10"/>
        <color rgb="FFC00000"/>
        <rFont val="PMingLiU"/>
        <family val="1"/>
      </rPr>
      <t>完成</t>
    </r>
    <r>
      <rPr>
        <sz val="10"/>
        <color rgb="FFC00000"/>
        <rFont val="Arial"/>
        <family val="2"/>
        <scheme val="minor"/>
      </rPr>
      <t xml:space="preserve">Phase 2 UAT </t>
    </r>
    <r>
      <rPr>
        <sz val="10"/>
        <color rgb="FFC00000"/>
        <rFont val="PMingLiU"/>
        <family val="1"/>
      </rPr>
      <t>建置（考量雲端入口架構目前正在規劃跟測試，尚無法確認標準做法）</t>
    </r>
    <phoneticPr fontId="11" type="noConversion"/>
  </si>
  <si>
    <t>ＭＭＢ緊急公告上雲</t>
    <phoneticPr fontId="11" type="noConversion"/>
  </si>
  <si>
    <t>緊急公告</t>
    <phoneticPr fontId="11" type="noConversion"/>
  </si>
  <si>
    <t>楊少杰</t>
    <phoneticPr fontId="11" type="noConversion"/>
  </si>
  <si>
    <t>2024 Q1 重啟</t>
    <phoneticPr fontId="11" type="noConversion"/>
  </si>
  <si>
    <t>官網CMS</t>
    <phoneticPr fontId="11" type="noConversion"/>
  </si>
  <si>
    <t>周紹文</t>
    <phoneticPr fontId="11" type="noConversion"/>
  </si>
  <si>
    <t>Line BC rebuild</t>
    <phoneticPr fontId="11" type="noConversion"/>
  </si>
  <si>
    <t>盧湞/盧奕丞</t>
    <phoneticPr fontId="11" type="noConversion"/>
  </si>
  <si>
    <t>自動雲</t>
    <phoneticPr fontId="11" type="noConversion"/>
  </si>
  <si>
    <t>蔡啟章</t>
    <phoneticPr fontId="11" type="noConversion"/>
  </si>
  <si>
    <r>
      <rPr>
        <sz val="10"/>
        <color rgb="FF000000"/>
        <rFont val="微軟正黑體"/>
        <family val="2"/>
        <charset val="136"/>
      </rPr>
      <t>個人化</t>
    </r>
    <r>
      <rPr>
        <sz val="10"/>
        <color rgb="FF000000"/>
        <rFont val="Arial"/>
        <family val="2"/>
        <scheme val="minor"/>
      </rPr>
      <t>MongoDB PoC</t>
    </r>
    <phoneticPr fontId="11" type="noConversion"/>
  </si>
  <si>
    <t>黃靜柔</t>
    <phoneticPr fontId="11" type="noConversion"/>
  </si>
  <si>
    <t xml:space="preserve">法金CRM
</t>
    <phoneticPr fontId="11" type="noConversion"/>
  </si>
  <si>
    <t>黃婌嫃</t>
    <phoneticPr fontId="11" type="noConversion"/>
  </si>
  <si>
    <r>
      <t>Avaloq</t>
    </r>
    <r>
      <rPr>
        <sz val="10"/>
        <color rgb="FF000000"/>
        <rFont val="微軟正黑體"/>
        <family val="2"/>
        <charset val="136"/>
      </rPr>
      <t>私銀平台升級</t>
    </r>
    <phoneticPr fontId="11" type="noConversion"/>
  </si>
  <si>
    <t>黃正興</t>
    <phoneticPr fontId="11" type="noConversion"/>
  </si>
  <si>
    <r>
      <t xml:space="preserve">iHave </t>
    </r>
    <r>
      <rPr>
        <sz val="10"/>
        <color rgb="FF000000"/>
        <rFont val="微軟正黑體"/>
        <family val="2"/>
        <charset val="136"/>
      </rPr>
      <t>員工服務平台</t>
    </r>
    <phoneticPr fontId="11" type="noConversion"/>
  </si>
  <si>
    <t>許惠文</t>
    <phoneticPr fontId="11" type="noConversion"/>
  </si>
  <si>
    <t>授信整合平台</t>
    <phoneticPr fontId="11" type="noConversion"/>
  </si>
  <si>
    <r>
      <t>BIP</t>
    </r>
    <r>
      <rPr>
        <sz val="10"/>
        <color rgb="FF000000"/>
        <rFont val="微軟正黑體"/>
        <family val="2"/>
        <charset val="136"/>
      </rPr>
      <t>分行整合平台</t>
    </r>
    <phoneticPr fontId="11" type="noConversion"/>
  </si>
  <si>
    <t>AWS Landing Zone</t>
    <phoneticPr fontId="11" type="noConversion"/>
  </si>
  <si>
    <t>N</t>
    <phoneticPr fontId="11" type="noConversion"/>
  </si>
  <si>
    <r>
      <t xml:space="preserve">infra </t>
    </r>
    <r>
      <rPr>
        <sz val="10"/>
        <color rgb="FF000000"/>
        <rFont val="微軟正黑體"/>
        <family val="2"/>
        <charset val="136"/>
      </rPr>
      <t>不列入</t>
    </r>
    <phoneticPr fontId="11" type="noConversion"/>
  </si>
  <si>
    <t>越南消金專案</t>
    <phoneticPr fontId="11" type="noConversion"/>
  </si>
  <si>
    <t>網銀</t>
    <phoneticPr fontId="11" type="noConversion"/>
  </si>
  <si>
    <t>海外</t>
    <phoneticPr fontId="11" type="noConversion"/>
  </si>
  <si>
    <t>2023已上線6套</t>
    <phoneticPr fontId="11" type="noConversion"/>
  </si>
  <si>
    <t>海外推播平台</t>
    <phoneticPr fontId="11" type="noConversion"/>
  </si>
  <si>
    <t>張寬寬</t>
    <phoneticPr fontId="11" type="noConversion"/>
  </si>
  <si>
    <t>海外一站式跨售運營平台</t>
    <phoneticPr fontId="11" type="noConversion"/>
  </si>
  <si>
    <t>黃靖琪</t>
    <phoneticPr fontId="11" type="noConversion"/>
  </si>
  <si>
    <t>柬埔寨去識別化分析平台</t>
    <phoneticPr fontId="11" type="noConversion"/>
  </si>
  <si>
    <t>張政憲</t>
    <phoneticPr fontId="11" type="noConversion"/>
  </si>
  <si>
    <r>
      <rPr>
        <sz val="10"/>
        <color rgb="FF000000"/>
        <rFont val="微軟正黑體"/>
        <family val="2"/>
        <charset val="136"/>
      </rPr>
      <t>柬埔寨</t>
    </r>
    <r>
      <rPr>
        <sz val="10"/>
        <color rgb="FF000000"/>
        <rFont val="Arial"/>
        <family val="2"/>
      </rPr>
      <t xml:space="preserve"> mBanking </t>
    </r>
    <r>
      <rPr>
        <sz val="10"/>
        <color rgb="FF000000"/>
        <rFont val="微軟正黑體"/>
        <family val="2"/>
        <charset val="136"/>
      </rPr>
      <t>上雲專案</t>
    </r>
    <phoneticPr fontId="11" type="noConversion"/>
  </si>
  <si>
    <t>AWS 數據上雲</t>
    <phoneticPr fontId="11" type="noConversion"/>
  </si>
  <si>
    <t>Q3雲端湖倉平台建置完成  
Q4 My客群標籤產製上線</t>
    <phoneticPr fontId="11" type="noConversion"/>
  </si>
  <si>
    <t>數位銀行科技部</t>
  </si>
  <si>
    <t>盛婕妃/林武慶</t>
    <phoneticPr fontId="11" type="noConversion"/>
  </si>
  <si>
    <t>數據</t>
    <phoneticPr fontId="11" type="noConversion"/>
  </si>
  <si>
    <t>AWS</t>
    <phoneticPr fontId="11" type="noConversion"/>
  </si>
  <si>
    <t>OA</t>
    <phoneticPr fontId="11" type="noConversion"/>
  </si>
  <si>
    <r>
      <t>Entraid + 100</t>
    </r>
    <r>
      <rPr>
        <sz val="10"/>
        <color rgb="FF000000"/>
        <rFont val="微軟正黑體"/>
        <family val="2"/>
        <charset val="136"/>
      </rPr>
      <t>人</t>
    </r>
    <r>
      <rPr>
        <sz val="10"/>
        <color rgb="FF000000"/>
        <rFont val="Arial"/>
        <family val="2"/>
        <scheme val="minor"/>
      </rPr>
      <t xml:space="preserve">Exchange Online Pilot </t>
    </r>
    <r>
      <rPr>
        <sz val="10"/>
        <color rgb="FF000000"/>
        <rFont val="微軟正黑體"/>
        <family val="2"/>
        <charset val="136"/>
      </rPr>
      <t>導入</t>
    </r>
    <phoneticPr fontId="11" type="noConversion"/>
  </si>
  <si>
    <t>白佩倖</t>
    <phoneticPr fontId="11" type="noConversion"/>
  </si>
  <si>
    <t>Azure</t>
    <phoneticPr fontId="11" type="noConversion"/>
  </si>
  <si>
    <t>Document AI PoC</t>
    <phoneticPr fontId="11" type="noConversion"/>
  </si>
  <si>
    <t>數據暨人工智慧發展部</t>
    <phoneticPr fontId="11" type="noConversion"/>
  </si>
  <si>
    <t>劉謹嘉</t>
    <phoneticPr fontId="11" type="noConversion"/>
  </si>
  <si>
    <t>AI</t>
    <phoneticPr fontId="11" type="noConversion"/>
  </si>
  <si>
    <t>GCP STT PoC</t>
    <phoneticPr fontId="11" type="noConversion"/>
  </si>
  <si>
    <t>王永祥</t>
    <phoneticPr fontId="11" type="noConversion"/>
  </si>
  <si>
    <t>GCP</t>
    <phoneticPr fontId="11" type="noConversion"/>
  </si>
  <si>
    <t>生成式諮服平台</t>
    <phoneticPr fontId="11" type="noConversion"/>
  </si>
  <si>
    <t xml:space="preserve">策略暨資訊戰情科 </t>
    <phoneticPr fontId="11" type="noConversion"/>
  </si>
  <si>
    <t>劉岦崱</t>
    <phoneticPr fontId="11" type="noConversion"/>
  </si>
  <si>
    <r>
      <t xml:space="preserve">Github Copilot </t>
    </r>
    <r>
      <rPr>
        <sz val="10"/>
        <color theme="1"/>
        <rFont val="PMingLiU"/>
        <family val="1"/>
      </rPr>
      <t>前端開發導入</t>
    </r>
    <phoneticPr fontId="11" type="noConversion"/>
  </si>
  <si>
    <t>官網線上櫃檯P1-1</t>
    <phoneticPr fontId="11" type="noConversion"/>
  </si>
  <si>
    <t>P1-1</t>
    <phoneticPr fontId="11" type="noConversion"/>
  </si>
  <si>
    <t>已上線</t>
  </si>
  <si>
    <t>20240103: 確認使用雲端ＤＮＳ
20240115: 確認作法</t>
    <phoneticPr fontId="11" type="noConversion"/>
  </si>
  <si>
    <t>集團BCM2.0</t>
    <phoneticPr fontId="11" type="noConversion"/>
  </si>
  <si>
    <t>林武慶</t>
    <phoneticPr fontId="11" type="noConversion"/>
  </si>
  <si>
    <t>VMWare Cloud</t>
    <phoneticPr fontId="11" type="noConversion"/>
  </si>
  <si>
    <t>黃義富</t>
    <phoneticPr fontId="11" type="noConversion"/>
  </si>
  <si>
    <t>SIT環境建置評估方案</t>
    <phoneticPr fontId="11" type="noConversion"/>
  </si>
  <si>
    <r>
      <rPr>
        <sz val="10"/>
        <color rgb="FF000000"/>
        <rFont val="PMingLiU"/>
        <family val="1"/>
      </rPr>
      <t>劉</t>
    </r>
    <r>
      <rPr>
        <sz val="10"/>
        <color rgb="FF000000"/>
        <rFont val="Arial"/>
        <family val="2"/>
        <scheme val="minor"/>
      </rPr>
      <t>家妤</t>
    </r>
    <phoneticPr fontId="11" type="noConversion"/>
  </si>
  <si>
    <t>資安防護及基礎架構建制</t>
    <phoneticPr fontId="11" type="noConversion"/>
  </si>
  <si>
    <t>AP Owner / PM</t>
    <phoneticPr fontId="11" type="noConversion"/>
  </si>
  <si>
    <t>SA</t>
    <phoneticPr fontId="11" type="noConversion"/>
  </si>
  <si>
    <t>PMO 開始列管時間</t>
    <phoneticPr fontId="11" type="noConversion"/>
  </si>
  <si>
    <t>PMO 開始結束時間</t>
    <phoneticPr fontId="11" type="noConversion"/>
  </si>
  <si>
    <r>
      <rPr>
        <sz val="10"/>
        <color rgb="FF000000"/>
        <rFont val="Microsoft JhengHei"/>
        <family val="2"/>
        <charset val="136"/>
      </rPr>
      <t>陳宇鋒</t>
    </r>
    <r>
      <rPr>
        <sz val="10"/>
        <color rgb="FF000000"/>
        <rFont val="Arial"/>
        <family val="2"/>
        <charset val="136"/>
        <scheme val="minor"/>
      </rPr>
      <t xml:space="preserve">​
</t>
    </r>
    <r>
      <rPr>
        <sz val="10"/>
        <color rgb="FF000000"/>
        <rFont val="Microsoft JhengHei"/>
        <family val="2"/>
        <charset val="136"/>
      </rPr>
      <t>楊椉淵</t>
    </r>
    <r>
      <rPr>
        <sz val="10"/>
        <color rgb="FF000000"/>
        <rFont val="Arial"/>
        <family val="2"/>
        <charset val="136"/>
        <scheme val="minor"/>
      </rPr>
      <t>​</t>
    </r>
    <phoneticPr fontId="11" type="noConversion"/>
  </si>
  <si>
    <t>Execution</t>
    <phoneticPr fontId="11" type="noConversion"/>
  </si>
  <si>
    <r>
      <rPr>
        <sz val="10"/>
        <color rgb="FF000000"/>
        <rFont val="Microsoft JhengHei"/>
        <family val="2"/>
        <charset val="136"/>
      </rPr>
      <t>劉怡廷</t>
    </r>
    <r>
      <rPr>
        <sz val="10"/>
        <color rgb="FF000000"/>
        <rFont val="Arial"/>
        <family val="2"/>
        <charset val="136"/>
      </rPr>
      <t xml:space="preserve">​
</t>
    </r>
    <r>
      <rPr>
        <sz val="10"/>
        <color rgb="FF000000"/>
        <rFont val="Microsoft JhengHei"/>
        <family val="2"/>
        <charset val="136"/>
      </rPr>
      <t>李江浚</t>
    </r>
    <phoneticPr fontId="11" type="noConversion"/>
  </si>
  <si>
    <t>江啓霖</t>
    <phoneticPr fontId="11" type="noConversion"/>
  </si>
  <si>
    <t>Monitor</t>
    <phoneticPr fontId="11" type="noConversion"/>
  </si>
  <si>
    <r>
      <rPr>
        <sz val="10"/>
        <color rgb="FF000000"/>
        <rFont val="Microsoft JhengHei"/>
        <family val="2"/>
        <charset val="136"/>
      </rPr>
      <t>楊椉淵</t>
    </r>
    <r>
      <rPr>
        <sz val="10"/>
        <color rgb="FF000000"/>
        <rFont val="Arial"/>
        <family val="2"/>
        <charset val="136"/>
        <scheme val="minor"/>
      </rPr>
      <t xml:space="preserve">​
</t>
    </r>
    <r>
      <rPr>
        <sz val="10"/>
        <color rgb="FF000000"/>
        <rFont val="Microsoft JhengHei"/>
        <family val="2"/>
        <charset val="136"/>
      </rPr>
      <t>蘇敏昕</t>
    </r>
    <r>
      <rPr>
        <sz val="10"/>
        <color rgb="FF000000"/>
        <rFont val="Arial"/>
        <family val="2"/>
        <charset val="136"/>
        <scheme val="minor"/>
      </rPr>
      <t>​</t>
    </r>
    <phoneticPr fontId="11" type="noConversion"/>
  </si>
  <si>
    <t>Closed</t>
    <phoneticPr fontId="11" type="noConversion"/>
  </si>
  <si>
    <r>
      <t>02/22</t>
    </r>
    <r>
      <rPr>
        <sz val="10"/>
        <color rgb="FF000000"/>
        <rFont val="Microsoft JhengHei"/>
        <family val="2"/>
        <charset val="136"/>
      </rPr>
      <t>長官會議裁示，此系統回到地端處理，未來模型成熟後再視情況部署上雲，本案移出戰情室列管範疇。</t>
    </r>
    <phoneticPr fontId="11" type="noConversion"/>
  </si>
  <si>
    <r>
      <rPr>
        <sz val="10"/>
        <color rgb="FF000000"/>
        <rFont val="Microsoft JhengHei"/>
        <family val="2"/>
        <charset val="136"/>
      </rPr>
      <t>陳美子</t>
    </r>
    <r>
      <rPr>
        <sz val="10"/>
        <color rgb="FF000000"/>
        <rFont val="Arial"/>
        <family val="2"/>
        <charset val="136"/>
      </rPr>
      <t xml:space="preserve">​
</t>
    </r>
    <r>
      <rPr>
        <sz val="10"/>
        <color rgb="FF000000"/>
        <rFont val="Microsoft JhengHei"/>
        <family val="2"/>
        <charset val="136"/>
      </rPr>
      <t>何政軒</t>
    </r>
    <r>
      <rPr>
        <sz val="10"/>
        <color rgb="FF000000"/>
        <rFont val="Arial"/>
        <family val="2"/>
        <charset val="136"/>
      </rPr>
      <t>​</t>
    </r>
    <phoneticPr fontId="11" type="noConversion"/>
  </si>
  <si>
    <r>
      <rPr>
        <sz val="10"/>
        <color rgb="FF000000"/>
        <rFont val="Microsoft JhengHei"/>
        <family val="2"/>
        <charset val="136"/>
      </rPr>
      <t>楊椉淵</t>
    </r>
    <r>
      <rPr>
        <sz val="10"/>
        <color rgb="FF000000"/>
        <rFont val="Arial"/>
        <family val="2"/>
        <charset val="136"/>
        <scheme val="minor"/>
      </rPr>
      <t xml:space="preserve">​
</t>
    </r>
    <r>
      <rPr>
        <sz val="10"/>
        <color rgb="FF000000"/>
        <rFont val="Microsoft JhengHei"/>
        <family val="2"/>
        <charset val="136"/>
      </rPr>
      <t>林柏宏</t>
    </r>
    <phoneticPr fontId="11" type="noConversion"/>
  </si>
  <si>
    <t>EAB</t>
    <phoneticPr fontId="11" type="noConversion"/>
  </si>
  <si>
    <t xml:space="preserve">Not Started </t>
    <phoneticPr fontId="11" type="noConversion"/>
  </si>
  <si>
    <r>
      <t>CMS</t>
    </r>
    <r>
      <rPr>
        <sz val="10"/>
        <color rgb="FF000000"/>
        <rFont val="Microsoft JhengHei"/>
        <family val="2"/>
        <charset val="136"/>
      </rPr>
      <t>官網</t>
    </r>
    <r>
      <rPr>
        <sz val="10"/>
        <color rgb="FF000000"/>
        <rFont val="Arial"/>
        <family val="2"/>
        <scheme val="minor"/>
      </rPr>
      <t>-AEM</t>
    </r>
    <r>
      <rPr>
        <sz val="10"/>
        <color rgb="FF000000"/>
        <rFont val="Microsoft JhengHei"/>
        <family val="2"/>
        <charset val="136"/>
      </rPr>
      <t>上雲</t>
    </r>
    <phoneticPr fontId="11" type="noConversion"/>
  </si>
  <si>
    <t>CAB1</t>
    <phoneticPr fontId="11" type="noConversion"/>
  </si>
  <si>
    <t>-</t>
    <phoneticPr fontId="11" type="noConversion"/>
  </si>
  <si>
    <t>待定</t>
    <phoneticPr fontId="11" type="noConversion"/>
  </si>
  <si>
    <t>Pre-Planning</t>
    <phoneticPr fontId="11" type="noConversion"/>
  </si>
  <si>
    <r>
      <rPr>
        <sz val="10"/>
        <color rgb="FF000000"/>
        <rFont val="Microsoft JhengHei"/>
        <family val="2"/>
        <charset val="136"/>
      </rPr>
      <t>楊椉淵</t>
    </r>
    <r>
      <rPr>
        <sz val="10"/>
        <color rgb="FF000000"/>
        <rFont val="Arial"/>
        <family val="2"/>
        <scheme val="minor"/>
      </rPr>
      <t>​</t>
    </r>
    <phoneticPr fontId="11" type="noConversion"/>
  </si>
  <si>
    <r>
      <rPr>
        <sz val="10"/>
        <color rgb="FF000000"/>
        <rFont val="Microsoft JhengHei"/>
        <family val="2"/>
        <charset val="136"/>
      </rPr>
      <t>陳詩承</t>
    </r>
    <r>
      <rPr>
        <sz val="10"/>
        <color rgb="FF000000"/>
        <rFont val="Arial"/>
        <family val="2"/>
        <scheme val="minor"/>
      </rPr>
      <t xml:space="preserve"> / </t>
    </r>
    <r>
      <rPr>
        <sz val="10"/>
        <color rgb="FF000000"/>
        <rFont val="Microsoft JhengHei"/>
        <family val="2"/>
        <charset val="136"/>
      </rPr>
      <t>高祖謙</t>
    </r>
    <phoneticPr fontId="11" type="noConversion"/>
  </si>
  <si>
    <r>
      <rPr>
        <sz val="10"/>
        <color rgb="FF000000"/>
        <rFont val="Microsoft JhengHei"/>
        <family val="2"/>
        <charset val="136"/>
      </rPr>
      <t>劉俊言</t>
    </r>
    <r>
      <rPr>
        <sz val="10"/>
        <color rgb="FF000000"/>
        <rFont val="Arial"/>
        <family val="2"/>
        <scheme val="minor"/>
      </rPr>
      <t>​</t>
    </r>
    <phoneticPr fontId="11" type="noConversion"/>
  </si>
  <si>
    <t>Pre-Planning</t>
  </si>
  <si>
    <r>
      <rPr>
        <sz val="10"/>
        <color rgb="FF000000"/>
        <rFont val="Microsoft JhengHei"/>
        <family val="2"/>
        <charset val="136"/>
      </rPr>
      <t>鄧翔心</t>
    </r>
    <r>
      <rPr>
        <sz val="10"/>
        <color rgb="FF000000"/>
        <rFont val="Arial"/>
        <family val="2"/>
        <scheme val="minor"/>
      </rPr>
      <t>​</t>
    </r>
    <phoneticPr fontId="11" type="noConversion"/>
  </si>
  <si>
    <t>朱守敬​</t>
    <phoneticPr fontId="11" type="noConversion"/>
  </si>
  <si>
    <r>
      <t>●</t>
    </r>
    <r>
      <rPr>
        <sz val="14"/>
        <color rgb="FF000000"/>
        <rFont val="Calibri"/>
        <family val="2"/>
      </rPr>
      <t>​</t>
    </r>
  </si>
  <si>
    <t>Prod</t>
    <phoneticPr fontId="11" type="noConversion"/>
  </si>
  <si>
    <t>楊永成​</t>
    <phoneticPr fontId="11" type="noConversion"/>
  </si>
  <si>
    <r>
      <rPr>
        <sz val="10"/>
        <color rgb="FF000000"/>
        <rFont val="Microsoft JhengHei"/>
        <family val="2"/>
        <charset val="136"/>
      </rPr>
      <t>姚映竹</t>
    </r>
    <r>
      <rPr>
        <sz val="10"/>
        <color rgb="FF000000"/>
        <rFont val="Arial"/>
        <family val="2"/>
      </rPr>
      <t>​</t>
    </r>
    <phoneticPr fontId="11" type="noConversion"/>
  </si>
  <si>
    <t>何崧宇​</t>
    <phoneticPr fontId="11" type="noConversion"/>
  </si>
  <si>
    <t>柬埔寨數據分析平台</t>
    <phoneticPr fontId="11" type="noConversion"/>
  </si>
  <si>
    <r>
      <rPr>
        <sz val="10"/>
        <color rgb="FF000000"/>
        <rFont val="Microsoft JhengHei"/>
        <family val="2"/>
        <charset val="136"/>
      </rPr>
      <t>盧冠妤</t>
    </r>
    <r>
      <rPr>
        <sz val="10"/>
        <color rgb="FF000000"/>
        <rFont val="Arial"/>
        <family val="2"/>
      </rPr>
      <t>​</t>
    </r>
    <phoneticPr fontId="11" type="noConversion"/>
  </si>
  <si>
    <t>許偉泓​</t>
    <phoneticPr fontId="11" type="noConversion"/>
  </si>
  <si>
    <t>章芷僑</t>
    <phoneticPr fontId="11" type="noConversion"/>
  </si>
  <si>
    <t>TBD</t>
    <phoneticPr fontId="11" type="noConversion"/>
  </si>
  <si>
    <r>
      <rPr>
        <sz val="10"/>
        <color rgb="FF000000"/>
        <rFont val="Microsoft JhengHei"/>
        <family val="2"/>
        <charset val="136"/>
      </rPr>
      <t>生成式諮服平台</t>
    </r>
    <r>
      <rPr>
        <sz val="10"/>
        <color rgb="FF000000"/>
        <rFont val="Arial"/>
        <family val="2"/>
      </rPr>
      <t>-</t>
    </r>
    <r>
      <rPr>
        <sz val="10"/>
        <color rgb="FF000000"/>
        <rFont val="Microsoft JhengHei"/>
        <family val="2"/>
        <charset val="136"/>
      </rPr>
      <t>國泰智多星</t>
    </r>
    <phoneticPr fontId="11" type="noConversion"/>
  </si>
  <si>
    <r>
      <t>楊椉淵</t>
    </r>
    <r>
      <rPr>
        <sz val="10"/>
        <color rgb="FF000000"/>
        <rFont val="Times New Roman"/>
        <family val="1"/>
      </rPr>
      <t>​</t>
    </r>
    <phoneticPr fontId="11" type="noConversion"/>
  </si>
  <si>
    <r>
      <rPr>
        <sz val="10"/>
        <color rgb="FF000000"/>
        <rFont val="Microsoft JhengHei"/>
        <family val="2"/>
        <charset val="136"/>
      </rPr>
      <t>全球企業網路銀行</t>
    </r>
    <r>
      <rPr>
        <sz val="10"/>
        <color rgb="FF000000"/>
        <rFont val="Arial"/>
        <family val="2"/>
        <charset val="136"/>
        <scheme val="minor"/>
      </rPr>
      <t xml:space="preserve"> 3.0​
</t>
    </r>
    <r>
      <rPr>
        <sz val="10"/>
        <color rgb="FF000000"/>
        <rFont val="Microsoft JhengHei"/>
        <family val="2"/>
        <charset val="136"/>
      </rPr>
      <t>（</t>
    </r>
    <r>
      <rPr>
        <sz val="10"/>
        <color rgb="FF000000"/>
        <rFont val="Arial"/>
        <family val="2"/>
        <charset val="136"/>
        <scheme val="minor"/>
      </rPr>
      <t>GMB</t>
    </r>
    <r>
      <rPr>
        <sz val="10"/>
        <color rgb="FF000000"/>
        <rFont val="Microsoft JhengHei"/>
        <family val="2"/>
        <charset val="136"/>
      </rPr>
      <t>）</t>
    </r>
    <r>
      <rPr>
        <sz val="10"/>
        <color rgb="FF000000"/>
        <rFont val="Arial"/>
        <family val="2"/>
        <charset val="136"/>
        <scheme val="minor"/>
      </rPr>
      <t>​</t>
    </r>
    <phoneticPr fontId="11" type="noConversion"/>
  </si>
  <si>
    <r>
      <t>羅正倫 / 陳皓鈺</t>
    </r>
    <r>
      <rPr>
        <sz val="10"/>
        <color rgb="FF000000"/>
        <rFont val="Arial"/>
        <family val="2"/>
      </rPr>
      <t>​</t>
    </r>
    <phoneticPr fontId="11" type="noConversion"/>
  </si>
  <si>
    <r>
      <rPr>
        <sz val="10"/>
        <color rgb="FF000000"/>
        <rFont val="Microsoft JhengHei"/>
        <family val="2"/>
        <charset val="136"/>
      </rPr>
      <t>陳宇鋒</t>
    </r>
    <r>
      <rPr>
        <sz val="10"/>
        <color rgb="FF000000"/>
        <rFont val="Arial"/>
        <family val="2"/>
        <scheme val="minor"/>
      </rPr>
      <t>​</t>
    </r>
    <phoneticPr fontId="11" type="noConversion"/>
  </si>
  <si>
    <r>
      <t xml:space="preserve"> </t>
    </r>
    <r>
      <rPr>
        <sz val="10"/>
        <color rgb="FF000000"/>
        <rFont val="Microsoft JhengHei"/>
        <family val="2"/>
        <charset val="136"/>
      </rPr>
      <t>陳皓鈺</t>
    </r>
    <r>
      <rPr>
        <sz val="10"/>
        <color rgb="FF000000"/>
        <rFont val="Arial"/>
        <family val="2"/>
        <scheme val="minor"/>
      </rPr>
      <t>​</t>
    </r>
    <phoneticPr fontId="11" type="noConversion"/>
  </si>
  <si>
    <r>
      <t>●</t>
    </r>
    <r>
      <rPr>
        <sz val="12"/>
        <color rgb="FF000000"/>
        <rFont val="Arial"/>
        <family val="2"/>
        <charset val="136"/>
      </rPr>
      <t>​</t>
    </r>
    <phoneticPr fontId="11" type="noConversion"/>
  </si>
  <si>
    <r>
      <t>●</t>
    </r>
    <r>
      <rPr>
        <sz val="12"/>
        <color rgb="FF000000"/>
        <rFont val="Calibri"/>
        <family val="2"/>
      </rPr>
      <t>​</t>
    </r>
    <phoneticPr fontId="11" type="noConversion"/>
  </si>
  <si>
    <t>Planning</t>
    <phoneticPr fontId="11" type="noConversion"/>
  </si>
  <si>
    <r>
      <t>●</t>
    </r>
    <r>
      <rPr>
        <sz val="12"/>
        <color rgb="FF000000"/>
        <rFont val="Calibri"/>
        <family val="2"/>
      </rPr>
      <t>​</t>
    </r>
  </si>
  <si>
    <t>Q1</t>
    <phoneticPr fontId="11" type="noConversion"/>
  </si>
  <si>
    <r>
      <t xml:space="preserve">Doc AI​
</t>
    </r>
    <r>
      <rPr>
        <sz val="10"/>
        <color rgb="FF000000"/>
        <rFont val="Microsoft JhengHei"/>
        <family val="2"/>
        <charset val="136"/>
      </rPr>
      <t>（影像辨識平台上雲）</t>
    </r>
    <phoneticPr fontId="11" type="noConversion"/>
  </si>
  <si>
    <t>移到資訊板塊</t>
    <phoneticPr fontId="11" type="noConversion"/>
  </si>
  <si>
    <t>2407​</t>
  </si>
  <si>
    <t>iCare 生活管理平台​</t>
    <phoneticPr fontId="11" type="noConversion"/>
  </si>
  <si>
    <t>許惠文​</t>
    <phoneticPr fontId="11" type="noConversion"/>
  </si>
  <si>
    <t>楊椉淵​</t>
    <phoneticPr fontId="11" type="noConversion"/>
  </si>
  <si>
    <t>2410​</t>
    <phoneticPr fontId="11" type="noConversion"/>
  </si>
  <si>
    <r>
      <rPr>
        <sz val="10"/>
        <color rgb="FF000000"/>
        <rFont val="Microsoft JhengHei"/>
        <family val="2"/>
        <charset val="136"/>
      </rPr>
      <t>雲端</t>
    </r>
    <r>
      <rPr>
        <sz val="10"/>
        <color rgb="FF000000"/>
        <rFont val="Arial"/>
        <family val="2"/>
        <charset val="136"/>
        <scheme val="minor"/>
      </rPr>
      <t>AI</t>
    </r>
    <r>
      <rPr>
        <sz val="10"/>
        <color rgb="FF000000"/>
        <rFont val="Microsoft JhengHei"/>
        <family val="2"/>
        <charset val="136"/>
      </rPr>
      <t>強化交易監控</t>
    </r>
    <r>
      <rPr>
        <sz val="10"/>
        <color rgb="FF000000"/>
        <rFont val="Arial"/>
        <family val="2"/>
        <charset val="136"/>
        <scheme val="minor"/>
      </rPr>
      <t>PoC</t>
    </r>
    <r>
      <rPr>
        <sz val="10"/>
        <color rgb="FF000000"/>
        <rFont val="Microsoft JhengHei"/>
        <family val="2"/>
        <charset val="136"/>
      </rPr>
      <t>專案</t>
    </r>
    <r>
      <rPr>
        <sz val="10"/>
        <color rgb="FF000000"/>
        <rFont val="Arial"/>
        <family val="2"/>
        <charset val="136"/>
        <scheme val="minor"/>
      </rPr>
      <t>​​</t>
    </r>
    <phoneticPr fontId="11" type="noConversion"/>
  </si>
  <si>
    <t>涂智皓/王鵬傑​</t>
    <phoneticPr fontId="11" type="noConversion"/>
  </si>
  <si>
    <t>張格誌 / 楊椉淵​</t>
    <phoneticPr fontId="11" type="noConversion"/>
  </si>
  <si>
    <t>2406​</t>
  </si>
  <si>
    <r>
      <rPr>
        <sz val="10"/>
        <color rgb="FF000000"/>
        <rFont val="Microsoft JhengHei"/>
        <family val="2"/>
        <charset val="136"/>
      </rPr>
      <t>網路身份識別系統（</t>
    </r>
    <r>
      <rPr>
        <sz val="10"/>
        <color rgb="FF000000"/>
        <rFont val="Arial"/>
        <family val="2"/>
        <charset val="136"/>
        <scheme val="minor"/>
      </rPr>
      <t>FIDO</t>
    </r>
    <r>
      <rPr>
        <sz val="10"/>
        <color rgb="FF000000"/>
        <rFont val="Microsoft JhengHei"/>
        <family val="2"/>
        <charset val="136"/>
      </rPr>
      <t>）</t>
    </r>
    <r>
      <rPr>
        <sz val="10"/>
        <color rgb="FF000000"/>
        <rFont val="Arial"/>
        <family val="2"/>
        <charset val="136"/>
        <scheme val="minor"/>
      </rPr>
      <t>-Phase 1 (VN)​</t>
    </r>
    <phoneticPr fontId="11" type="noConversion"/>
  </si>
  <si>
    <t>陳美宏 / 陳皓鈺​</t>
    <phoneticPr fontId="11" type="noConversion"/>
  </si>
  <si>
    <t>張格誌​</t>
    <phoneticPr fontId="11" type="noConversion"/>
  </si>
  <si>
    <t>2408​</t>
  </si>
  <si>
    <t>IT整合管理系統（BMC）SaaS​</t>
    <phoneticPr fontId="11" type="noConversion"/>
  </si>
  <si>
    <t>劉俊言 / 外部廠商​</t>
    <phoneticPr fontId="11" type="noConversion"/>
  </si>
  <si>
    <r>
      <t>AWS-Device Farm </t>
    </r>
    <r>
      <rPr>
        <sz val="12"/>
        <color rgb="FF000000"/>
        <rFont val="Calibri"/>
        <family val="2"/>
      </rPr>
      <t>​</t>
    </r>
    <phoneticPr fontId="11" type="noConversion"/>
  </si>
  <si>
    <r>
      <t>郭芳甄</t>
    </r>
    <r>
      <rPr>
        <sz val="12"/>
        <color rgb="FF000000"/>
        <rFont val="微軟正黑體"/>
        <family val="2"/>
        <charset val="136"/>
      </rPr>
      <t>​</t>
    </r>
    <phoneticPr fontId="11" type="noConversion"/>
  </si>
  <si>
    <t>委外審核</t>
    <phoneticPr fontId="11" type="noConversion"/>
  </si>
  <si>
    <t>4. CAB1</t>
    <phoneticPr fontId="11" type="noConversion"/>
  </si>
  <si>
    <t>6. Prod</t>
    <phoneticPr fontId="11" type="noConversion"/>
  </si>
  <si>
    <t>5. CAB2</t>
    <phoneticPr fontId="11" type="noConversion"/>
  </si>
  <si>
    <t>3. EAB</t>
    <phoneticPr fontId="11" type="noConversion"/>
  </si>
  <si>
    <t>●​</t>
    <phoneticPr fontId="11" type="noConversion"/>
  </si>
  <si>
    <t>Infra</t>
    <phoneticPr fontId="11" type="noConversion"/>
  </si>
  <si>
    <t>2. Planning</t>
    <phoneticPr fontId="11" type="noConversion"/>
  </si>
  <si>
    <t>Pass</t>
    <phoneticPr fontId="11" type="noConversion"/>
  </si>
  <si>
    <t>1. Pre-Planning</t>
    <phoneticPr fontId="11" type="noConversion"/>
  </si>
  <si>
    <r>
      <rPr>
        <sz val="10"/>
        <color rgb="FF000000"/>
        <rFont val="Microsoft JhengHei"/>
        <family val="2"/>
        <charset val="136"/>
      </rPr>
      <t>原：許惠文</t>
    </r>
    <r>
      <rPr>
        <sz val="10"/>
        <color rgb="FF000000"/>
        <rFont val="Arial"/>
        <family val="2"/>
        <charset val="136"/>
      </rPr>
      <t xml:space="preserve">
</t>
    </r>
    <r>
      <rPr>
        <sz val="10"/>
        <color rgb="FF000000"/>
        <rFont val="Microsoft JhengHei"/>
        <family val="2"/>
        <charset val="136"/>
      </rPr>
      <t>新：陳嘉賢</t>
    </r>
    <phoneticPr fontId="11" type="noConversion"/>
  </si>
  <si>
    <t>N/A</t>
    <phoneticPr fontId="11" type="noConversion"/>
  </si>
  <si>
    <r>
      <t>IT</t>
    </r>
    <r>
      <rPr>
        <b/>
        <sz val="10"/>
        <color rgb="FF000000"/>
        <rFont val="Microsoft JhengHei"/>
        <family val="2"/>
        <charset val="136"/>
      </rPr>
      <t>整合管理系統（</t>
    </r>
    <r>
      <rPr>
        <b/>
        <sz val="10"/>
        <color rgb="FF000000"/>
        <rFont val="Arial"/>
        <family val="2"/>
        <charset val="136"/>
        <scheme val="minor"/>
      </rPr>
      <t>BMC</t>
    </r>
    <r>
      <rPr>
        <b/>
        <sz val="10"/>
        <color rgb="FF000000"/>
        <rFont val="Microsoft JhengHei"/>
        <family val="2"/>
        <charset val="136"/>
      </rPr>
      <t>）</t>
    </r>
    <r>
      <rPr>
        <b/>
        <sz val="10"/>
        <color rgb="FF000000"/>
        <rFont val="Arial"/>
        <family val="2"/>
        <charset val="136"/>
        <scheme val="minor"/>
      </rPr>
      <t>SaaS​</t>
    </r>
    <phoneticPr fontId="11" type="noConversion"/>
  </si>
  <si>
    <t>監控APP系統</t>
    <phoneticPr fontId="11" type="noConversion"/>
  </si>
  <si>
    <t>鄭雯文/李振維</t>
    <phoneticPr fontId="11" type="noConversion"/>
  </si>
  <si>
    <r>
      <t>CUBE APP-</t>
    </r>
    <r>
      <rPr>
        <sz val="10"/>
        <color rgb="FF000000"/>
        <rFont val="Microsoft JhengHei"/>
        <family val="2"/>
        <charset val="136"/>
      </rPr>
      <t>緊急公告上雲</t>
    </r>
    <phoneticPr fontId="11" type="noConversion"/>
  </si>
  <si>
    <r>
      <rPr>
        <sz val="10"/>
        <color rgb="FF000000"/>
        <rFont val="Microsoft JhengHei"/>
        <family val="2"/>
        <charset val="136"/>
      </rPr>
      <t>官網線上櫃檯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Microsoft JhengHei"/>
        <family val="2"/>
        <charset val="136"/>
      </rPr>
      <t>信用卡正</t>
    </r>
    <r>
      <rPr>
        <sz val="10"/>
        <color rgb="FF000000"/>
        <rFont val="Arial"/>
        <family val="2"/>
        <scheme val="minor"/>
      </rPr>
      <t>+</t>
    </r>
    <r>
      <rPr>
        <sz val="10"/>
        <color rgb="FF000000"/>
        <rFont val="Microsoft JhengHei"/>
        <family val="2"/>
        <charset val="136"/>
      </rPr>
      <t>附</t>
    </r>
    <phoneticPr fontId="11" type="noConversion"/>
  </si>
  <si>
    <t>林金進</t>
    <phoneticPr fontId="11" type="noConversion"/>
  </si>
  <si>
    <t>Gemini Code Assist PoC</t>
    <phoneticPr fontId="11" type="noConversion"/>
  </si>
  <si>
    <r>
      <t>AP owner</t>
    </r>
    <r>
      <rPr>
        <sz val="10"/>
        <color rgb="FF000000"/>
        <rFont val="Microsoft JhengHei"/>
        <family val="2"/>
        <charset val="136"/>
      </rPr>
      <t>：吳欣昌(科技應用發展部科技研發科)
PM：余軒誼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Microsoft JhengHei"/>
        <family val="2"/>
        <charset val="136"/>
      </rPr>
      <t>雲端架構發展部雲端治理規劃科</t>
    </r>
    <r>
      <rPr>
        <sz val="10"/>
        <color rgb="FF000000"/>
        <rFont val="Arial"/>
        <family val="2"/>
        <scheme val="minor"/>
      </rPr>
      <t>)</t>
    </r>
    <phoneticPr fontId="11" type="noConversion"/>
  </si>
  <si>
    <t>楊椉淵</t>
    <phoneticPr fontId="11" type="noConversion"/>
  </si>
  <si>
    <r>
      <rPr>
        <sz val="10"/>
        <color rgb="FF000000"/>
        <rFont val="Microsoft JhengHei"/>
        <family val="2"/>
        <charset val="136"/>
      </rPr>
      <t>越南客戶服務系統</t>
    </r>
    <r>
      <rPr>
        <sz val="10"/>
        <color rgb="FF000000"/>
        <rFont val="Arial"/>
        <family val="2"/>
        <charset val="136"/>
        <scheme val="minor"/>
      </rPr>
      <t xml:space="preserve"> Worldfone</t>
    </r>
    <phoneticPr fontId="11" type="noConversion"/>
  </si>
  <si>
    <r>
      <rPr>
        <sz val="10"/>
        <color rgb="FF000000"/>
        <rFont val="Microsoft JhengHei"/>
        <family val="2"/>
        <charset val="136"/>
      </rPr>
      <t>海外數據雲端分析平台</t>
    </r>
    <r>
      <rPr>
        <sz val="10"/>
        <color rgb="FF000000"/>
        <rFont val="Arial"/>
        <family val="2"/>
        <scheme val="minor"/>
      </rPr>
      <t xml:space="preserve"> POC</t>
    </r>
    <phoneticPr fontId="11" type="noConversion"/>
  </si>
  <si>
    <t>計數 - 系統名稱</t>
  </si>
  <si>
    <t>欄標籤</t>
  </si>
  <si>
    <t>列標籤</t>
  </si>
  <si>
    <t>1. Pre-Planning</t>
  </si>
  <si>
    <t>2. Planning</t>
  </si>
  <si>
    <t>3. EAB</t>
  </si>
  <si>
    <t>4. CAB1</t>
  </si>
  <si>
    <t>5. CAB2</t>
  </si>
  <si>
    <t>6. Prod</t>
  </si>
  <si>
    <t>總計</t>
  </si>
  <si>
    <t>AI</t>
  </si>
  <si>
    <t>OA</t>
  </si>
  <si>
    <t>海外</t>
  </si>
  <si>
    <t>資訊</t>
  </si>
  <si>
    <t>數位</t>
  </si>
  <si>
    <t>數據</t>
  </si>
  <si>
    <t>上雲專案預算控管表</t>
    <phoneticPr fontId="50" type="noConversion"/>
  </si>
  <si>
    <t>灰底下線</t>
    <phoneticPr fontId="50" type="noConversion"/>
  </si>
  <si>
    <t>類別</t>
    <phoneticPr fontId="50" type="noConversion"/>
  </si>
  <si>
    <t>板塊</t>
  </si>
  <si>
    <t>部門</t>
    <phoneticPr fontId="50" type="noConversion"/>
  </si>
  <si>
    <t>科別</t>
  </si>
  <si>
    <t>專案名稱</t>
  </si>
  <si>
    <t>專案編號(Project ID)</t>
  </si>
  <si>
    <t>APID</t>
    <phoneticPr fontId="50" type="noConversion"/>
  </si>
  <si>
    <t>雲平台</t>
    <phoneticPr fontId="50" type="noConversion"/>
  </si>
  <si>
    <t>環境</t>
  </si>
  <si>
    <t>承辦人員編</t>
  </si>
  <si>
    <t>承辦人</t>
  </si>
  <si>
    <t>架構師</t>
  </si>
  <si>
    <t>成本中心</t>
    <phoneticPr fontId="50" type="noConversion"/>
  </si>
  <si>
    <r>
      <t xml:space="preserve">年度預算預估
</t>
    </r>
    <r>
      <rPr>
        <sz val="12"/>
        <rFont val="微軟正黑體"/>
        <family val="2"/>
        <charset val="136"/>
      </rPr>
      <t>（2025/01-2025/12）</t>
    </r>
    <phoneticPr fontId="50" type="noConversion"/>
  </si>
  <si>
    <r>
      <t xml:space="preserve">月均預算預估
</t>
    </r>
    <r>
      <rPr>
        <sz val="12"/>
        <color rgb="FF000000"/>
        <rFont val="微軟正黑體"/>
        <family val="2"/>
        <charset val="136"/>
      </rPr>
      <t>（設定專案費用告警基準值）</t>
    </r>
    <phoneticPr fontId="50" type="noConversion"/>
  </si>
  <si>
    <r>
      <t xml:space="preserve">預算設定/調整聯繫單號
</t>
    </r>
    <r>
      <rPr>
        <sz val="12"/>
        <rFont val="Microsoft JhengHei UI"/>
        <family val="2"/>
      </rPr>
      <t>（保留最近一次）</t>
    </r>
    <phoneticPr fontId="50" type="noConversion"/>
  </si>
  <si>
    <r>
      <rPr>
        <b/>
        <sz val="12"/>
        <color rgb="FF000000"/>
        <rFont val="微軟正黑體"/>
        <family val="2"/>
        <charset val="136"/>
      </rPr>
      <t xml:space="preserve">通知 CT 群組 Token
</t>
    </r>
    <r>
      <rPr>
        <sz val="12"/>
        <color rgb="FF000000"/>
        <rFont val="微軟正黑體"/>
        <family val="2"/>
        <charset val="136"/>
      </rPr>
      <t xml:space="preserve">（通知要包含 AP owner /AP 代理人 /科長）
</t>
    </r>
  </si>
  <si>
    <r>
      <rPr>
        <b/>
        <sz val="12"/>
        <color rgb="FF000000"/>
        <rFont val="微軟正黑體"/>
        <family val="2"/>
        <charset val="136"/>
      </rPr>
      <t xml:space="preserve">通知 E_mail 群組
</t>
    </r>
    <r>
      <rPr>
        <sz val="12"/>
        <color rgb="FF000000"/>
        <rFont val="微軟正黑體"/>
        <family val="2"/>
        <charset val="136"/>
      </rPr>
      <t>（專案費用告警通知對象）</t>
    </r>
  </si>
  <si>
    <t>協理 Email</t>
  </si>
  <si>
    <t>副總 Email</t>
  </si>
  <si>
    <t>專案狀態</t>
  </si>
  <si>
    <t>是否有閾值</t>
  </si>
  <si>
    <t>備註(AP owner)</t>
    <phoneticPr fontId="50" type="noConversion"/>
  </si>
  <si>
    <t>poc</t>
  </si>
  <si>
    <t>afa-lab-poc</t>
  </si>
  <si>
    <t>雲端應用發展</t>
    <phoneticPr fontId="50" type="noConversion"/>
  </si>
  <si>
    <t>已關閉</t>
  </si>
  <si>
    <t>無</t>
  </si>
  <si>
    <t>afa-lab-poc-491307</t>
  </si>
  <si>
    <t>afa3tap-poc-478802</t>
  </si>
  <si>
    <t>lab</t>
  </si>
  <si>
    <t>bcm-data-replica-351600</t>
  </si>
  <si>
    <t>cbs-cp-vnd-01-ut-4f9ed0</t>
  </si>
  <si>
    <t>cloud-dev-poc-455606</t>
  </si>
  <si>
    <t>使用中</t>
  </si>
  <si>
    <t>有</t>
  </si>
  <si>
    <t>cloud-sre-poc-481701</t>
  </si>
  <si>
    <t>com-cp-ocr-01-ut-d43a54</t>
  </si>
  <si>
    <t>crm-cp-lhp-03-ut-092d93</t>
  </si>
  <si>
    <t>cube-dataplex-poc-481702</t>
  </si>
  <si>
    <t>cube-dataplex-poc-491307</t>
  </si>
  <si>
    <t>cubeapp-poc-481701</t>
  </si>
  <si>
    <t>cubeapp-poc-491307</t>
  </si>
  <si>
    <t>dla-poc-465509</t>
  </si>
  <si>
    <t>fe-knowlegde-lab-poc-489105</t>
  </si>
  <si>
    <t>gcp-cloudsql-test-472607</t>
  </si>
  <si>
    <t>gcp-test-476606</t>
  </si>
  <si>
    <t>gmb-app-poc-473903</t>
  </si>
  <si>
    <t>hub-secops-443705</t>
  </si>
  <si>
    <t>hub-security-services-abbca7</t>
  </si>
  <si>
    <t>aicoe-gcp-poc</t>
  </si>
  <si>
    <t>queue-llm-poc-474602</t>
  </si>
  <si>
    <t>hub-shared-services-db8bfe</t>
  </si>
  <si>
    <t>cubeapp-poc-474602</t>
  </si>
  <si>
    <t>ebt-cp-lbc-02-ut-b6c445</t>
  </si>
  <si>
    <t>knowlegde-lab-poc-489105</t>
  </si>
  <si>
    <t>lab-hub-network-bfe5d3</t>
  </si>
  <si>
    <t>lab-hub-shared-services-962fe8</t>
  </si>
  <si>
    <t>lab-ut-network-f071ce</t>
  </si>
  <si>
    <t>lab-ut-shared-services-439708</t>
  </si>
  <si>
    <t>cloud-sre-poc-474602</t>
  </si>
  <si>
    <t>multi-structure-table-poc</t>
  </si>
  <si>
    <t>ocr-ai-poc-01</t>
  </si>
  <si>
    <t>otr-cp-uxd-01-ut-e03d4a</t>
  </si>
  <si>
    <t>ovs-lx-vap-01-uat-961b81</t>
  </si>
  <si>
    <t>queue-llm-poc-481701</t>
  </si>
  <si>
    <t>queue-llm-poc-491307</t>
  </si>
  <si>
    <t>service-health-api-422508</t>
  </si>
  <si>
    <t>smart-evaluation-poc-484201</t>
  </si>
  <si>
    <t>smart-evaluation-poc-491307</t>
  </si>
  <si>
    <t>svc-lx-bts-01-prod-96101e</t>
  </si>
  <si>
    <t>svc-nt-cms-01-prod-7e4790</t>
  </si>
  <si>
    <t>業務中台部</t>
  </si>
  <si>
    <t>信用卡中台科</t>
  </si>
  <si>
    <t>信用卡快速行銷平台</t>
  </si>
  <si>
    <t>mid-lx-cbe-02-poc-52ae47</t>
  </si>
  <si>
    <t>mid-lx-cbe-02</t>
  </si>
  <si>
    <t>GCP</t>
    <phoneticPr fontId="66" type="noConversion"/>
  </si>
  <si>
    <t>UT</t>
  </si>
  <si>
    <t>雲端應用發展</t>
  </si>
  <si>
    <t>vicw@cathaybk.com.tw</t>
  </si>
  <si>
    <t>mid-lx-cbe-02-poc-ut-55323e</t>
  </si>
  <si>
    <t>applications</t>
    <phoneticPr fontId="50" type="noConversion"/>
  </si>
  <si>
    <t>數位驅動</t>
  </si>
  <si>
    <t>數據暨人工智慧科技部</t>
  </si>
  <si>
    <t>資料科學科(數智)</t>
  </si>
  <si>
    <t>國泰智多星</t>
  </si>
  <si>
    <t>kmi-cp-gai-01-prod-64af3b</t>
  </si>
  <si>
    <t>PROD</t>
    <phoneticPr fontId="66" type="noConversion"/>
  </si>
  <si>
    <t>00591103</t>
  </si>
  <si>
    <t>涂沁如</t>
  </si>
  <si>
    <t>楊椉淵​</t>
  </si>
  <si>
    <t>Account：va_6ee072dac15846f18b
Apikey：966dd942-4b6a-4362-8fcb-29ec0e06865d
TeamSn：8762 
Subject：cathaygpt_alarm</t>
  </si>
  <si>
    <t>ds_data@cathaybk.com.tw</t>
  </si>
  <si>
    <t>Jeremy.liu@cathaybk.com.tw</t>
  </si>
  <si>
    <t>kmi-cp-gai-01-uat-5921bb</t>
  </si>
  <si>
    <t>UAT</t>
    <phoneticPr fontId="66" type="noConversion"/>
  </si>
  <si>
    <t>涂沁如</t>
    <phoneticPr fontId="50" type="noConversion"/>
  </si>
  <si>
    <t>kmi-cp-gai-01-ut-9dbc12</t>
  </si>
  <si>
    <t>UT</t>
    <phoneticPr fontId="66" type="noConversion"/>
  </si>
  <si>
    <t>阿發2.0-數據</t>
  </si>
  <si>
    <t>gai-cp-ncb-01-ut-42a197</t>
    <phoneticPr fontId="50" type="noConversion"/>
  </si>
  <si>
    <t>GCP</t>
    <phoneticPr fontId="50" type="noConversion"/>
  </si>
  <si>
    <t>UT</t>
    <phoneticPr fontId="50" type="noConversion"/>
  </si>
  <si>
    <t>00596515</t>
  </si>
  <si>
    <t>陳韋霖</t>
  </si>
  <si>
    <t>趙亮</t>
  </si>
  <si>
    <t>AICOE</t>
    <phoneticPr fontId="50" type="noConversion"/>
  </si>
  <si>
    <t>00105202503198</t>
  </si>
  <si>
    <t>Account：va_e8d2a99da0834717a8
Apikey：4ab69430-0764-4b7c-8a5f-e43ad01f9e7f
TeamSn：11322
Subject：[UT] GAI-CP-NCB-01 阿發2.0 Billing Alert</t>
  </si>
  <si>
    <t>branch0009603@cathaybk.com.tw</t>
  </si>
  <si>
    <t>gai-cp-ncb-01-uat-a86d14</t>
    <phoneticPr fontId="50" type="noConversion"/>
  </si>
  <si>
    <t>UAT</t>
  </si>
  <si>
    <t>Account：va_76865a0078d54b98bb
Apikey：f680d727-b2c2-479d-be55-b91c4043d5c1
TeamSn：11323
Subject：[UAT] GAI-CP-NCB-01 阿發2.0 Billing Alert</t>
  </si>
  <si>
    <t/>
  </si>
  <si>
    <t xml:space="preserve">Queue-LLM </t>
  </si>
  <si>
    <t>queue-llm-poc</t>
  </si>
  <si>
    <t>LAB</t>
  </si>
  <si>
    <t>00595585</t>
  </si>
  <si>
    <t>郭士齊</t>
  </si>
  <si>
    <t>葉安</t>
  </si>
  <si>
    <t>數位銀行發展部</t>
  </si>
  <si>
    <t>個人化經營科</t>
  </si>
  <si>
    <t>GOOGLE 數據追蹤系統</t>
  </si>
  <si>
    <t>mmbcathay</t>
  </si>
  <si>
    <t>SVC-CP-GMC-01</t>
  </si>
  <si>
    <t>PROD</t>
  </si>
  <si>
    <t>00591447</t>
  </si>
  <si>
    <t>朱修弘</t>
    <phoneticPr fontId="50" type="noConversion"/>
  </si>
  <si>
    <t>Account：va_661347897d3242f3a4
Apikey：a1c05b29-8138-400e-8ee1-9625daae3225
TeamSn：9423
Subject：自動化生成個人化行銷文案系統</t>
  </si>
  <si>
    <t>jessie.lin@cathaybk.com.tw; nt91447@cathaybk.com.tw; nt90999@cathaybk.com.tw; nt92861@cathaybk.com.tw</t>
    <phoneticPr fontId="50" type="noConversion"/>
  </si>
  <si>
    <t>lisin@cathaybk.com.tw</t>
  </si>
  <si>
    <t>Quincy@cathaybk.com.tw</t>
  </si>
  <si>
    <t>svc-cp-gmc-01-prod-9935fc</t>
  </si>
  <si>
    <t>PROD</t>
    <phoneticPr fontId="50" type="noConversion"/>
  </si>
  <si>
    <t>陳宇鋒</t>
  </si>
  <si>
    <t>YM@cathaybk.com.tw</t>
  </si>
  <si>
    <t>svc-cp-gmc-01-ut-78811c</t>
  </si>
  <si>
    <t>個人化科技科</t>
  </si>
  <si>
    <t>CATHAYBK全球資訊網（官網）</t>
  </si>
  <si>
    <t>svc-nt-www-01-prod-d81f10</t>
  </si>
  <si>
    <t>00596540</t>
  </si>
  <si>
    <t>林金進</t>
    <phoneticPr fontId="50" type="noConversion"/>
  </si>
  <si>
    <t>張格誌</t>
  </si>
  <si>
    <t>00101202600281</t>
  </si>
  <si>
    <t>Account：va_e6eb9a8d26ee420caf
Apikey：8937a821-10e2-484f-a300-871eda36554d
TeamSn：5256
Subject：個人化系統告警通知群組</t>
    <phoneticPr fontId="50" type="noConversion"/>
  </si>
  <si>
    <t>ed56@cathaybk.com.tw</t>
  </si>
  <si>
    <t>lisa0824@cathaybk.com.tw</t>
  </si>
  <si>
    <t>svc-nt-www-01-uat-002503</t>
  </si>
  <si>
    <t>UAT</t>
    <phoneticPr fontId="50" type="noConversion"/>
  </si>
  <si>
    <t>Account：va_e6eb9a8d26ee420caf
Apikey：8937a821-10e2-484f-a300-871eda36554d
TeamSn：5256
Subject：個人化系統告警通知群組</t>
  </si>
  <si>
    <t>個人化科技科</t>
    <phoneticPr fontId="50" type="noConversion"/>
  </si>
  <si>
    <t>svc-nt-www-01-ut-026d14</t>
  </si>
  <si>
    <t>數位銀行科技部</t>
    <phoneticPr fontId="50" type="noConversion"/>
  </si>
  <si>
    <t>CMS內容管理系統</t>
    <phoneticPr fontId="50" type="noConversion"/>
  </si>
  <si>
    <t>svc-nt-cms-01-uat-cc2adb</t>
    <phoneticPr fontId="50" type="noConversion"/>
  </si>
  <si>
    <t>00582522</t>
  </si>
  <si>
    <t>藍文伶</t>
  </si>
  <si>
    <t>劉俊言</t>
    <phoneticPr fontId="50" type="noConversion"/>
  </si>
  <si>
    <t>00101202601108</t>
  </si>
  <si>
    <t>svc-nt-cms-01-ut-7661ad</t>
  </si>
  <si>
    <t>00101202601804</t>
  </si>
  <si>
    <t>LINE企業行銷系統</t>
  </si>
  <si>
    <t>ebt-cp-lbc-01-prod-9b50c7</t>
  </si>
  <si>
    <t>00597066</t>
  </si>
  <si>
    <t xml:space="preserve">林瑜勲 </t>
    <phoneticPr fontId="50" type="noConversion"/>
  </si>
  <si>
    <t>莊坤遠</t>
  </si>
  <si>
    <t>ebt-cp-lbc-01-uat-b02c8c</t>
  </si>
  <si>
    <t>00101202601126</t>
  </si>
  <si>
    <t>ebt-cp-lbc-01-ut-aa52b2</t>
  </si>
  <si>
    <t xml:space="preserve">林瑜勲 </t>
  </si>
  <si>
    <t>未提及</t>
    <phoneticPr fontId="50" type="noConversion"/>
  </si>
  <si>
    <t>行動銀行（APP等行動裝置程式應用）</t>
  </si>
  <si>
    <t>mid-nt-stk-01-prod-9363ef</t>
    <phoneticPr fontId="50" type="noConversion"/>
  </si>
  <si>
    <t xml:space="preserve">00585689 </t>
    <phoneticPr fontId="50" type="noConversion"/>
  </si>
  <si>
    <t>楊少杰</t>
    <phoneticPr fontId="50" type="noConversion"/>
  </si>
  <si>
    <t>免填</t>
  </si>
  <si>
    <t>數位銀行部MMB小組 &lt;ED42@cathaybk.com.tw&gt;</t>
  </si>
  <si>
    <t>已下線</t>
  </si>
  <si>
    <t>mid-nt-stk-01-uat-6e1fc4</t>
  </si>
  <si>
    <t>mid-nt-stk-01-ut-5e3e94</t>
  </si>
  <si>
    <t>lab</t>
    <phoneticPr fontId="50" type="noConversion"/>
  </si>
  <si>
    <t>Google TAP 信用卡活動登錄程式架構優化</t>
  </si>
  <si>
    <t>root-logic-466103-i0</t>
    <phoneticPr fontId="50" type="noConversion"/>
  </si>
  <si>
    <t>查無資料</t>
  </si>
  <si>
    <t>00101202502522</t>
    <phoneticPr fontId="50" type="noConversion"/>
  </si>
  <si>
    <t>LINE財管行銷系統</t>
  </si>
  <si>
    <t>ebt-cp-lbc-02-ut-0789b7</t>
    <phoneticPr fontId="50" type="noConversion"/>
  </si>
  <si>
    <t>00546808</t>
    <phoneticPr fontId="50" type="noConversion"/>
  </si>
  <si>
    <t>盧奕丞</t>
  </si>
  <si>
    <t>劉俊言</t>
  </si>
  <si>
    <t>00101202501434</t>
  </si>
  <si>
    <t>Account：va_e6eb9a8d26ee420caf
ApiKey：8937a821-10e2-484f-a300-871eda36554d
TeamSn：5256
Subject：個人化科技科</t>
  </si>
  <si>
    <t>officialwebadm@cathaybk.com.tw</t>
  </si>
  <si>
    <t xml:space="preserve">奕丞 您好
雲端專案閾值已發生告警
專案代碼：ebt-cp-lbc-02-ut
已先 CT 通知承辦人： 盧奕丞
目前閾值：600.0
目前花費：600.05​，約為 100.0%
暫時調整：$713.58
告知於下週一上班日進行回覆及提單作業
紀錄於【雲端專案控管表】
</t>
  </si>
  <si>
    <t>poc</t>
    <phoneticPr fontId="50" type="noConversion"/>
  </si>
  <si>
    <t>數位雲科技發展部</t>
  </si>
  <si>
    <t>運維整合發展科</t>
  </si>
  <si>
    <t>CUBE對話式卡友消費分析PoC</t>
  </si>
  <si>
    <t>gai-card-consumption-ut-8b3b0e</t>
  </si>
  <si>
    <t>00595662</t>
    <phoneticPr fontId="50" type="noConversion"/>
  </si>
  <si>
    <t>陶郁涵</t>
    <phoneticPr fontId="50" type="noConversion"/>
  </si>
  <si>
    <t>陳兆康</t>
    <phoneticPr fontId="50" type="noConversion"/>
  </si>
  <si>
    <t>00103202502268</t>
  </si>
  <si>
    <t>Account: va_5094a505eff14a90b4
Apikey: b453069e-b601-4941-80e8-a8c905998c59
TeamSn: 6777
Subject: SCT-01</t>
  </si>
  <si>
    <t>DGTCloudgroup@cathaybk.com.tw</t>
  </si>
  <si>
    <t>廠商支援美金10000</t>
    <phoneticPr fontId="50" type="noConversion"/>
  </si>
  <si>
    <t>運維整合發展科</t>
    <phoneticPr fontId="50" type="noConversion"/>
  </si>
  <si>
    <t>自動雲平台系統</t>
  </si>
  <si>
    <t>com-lx-atc-01-prod-12789b</t>
  </si>
  <si>
    <t>00595025</t>
    <phoneticPr fontId="50" type="noConversion"/>
  </si>
  <si>
    <t>蔡坤儒</t>
    <phoneticPr fontId="50" type="noConversion"/>
  </si>
  <si>
    <t>Account: va_5094a505eff14a90b4
Apikey: b453069e-b601-4941-80e8-a8c905998c59
TeamSn: 6777
Subject: CAI-01</t>
  </si>
  <si>
    <t>DGTSREAdm@cathaybk.com.tw</t>
  </si>
  <si>
    <t>JeffHuang@cathaybk.com.tw</t>
  </si>
  <si>
    <t>com-lx-atc-01-uat-9a7feb</t>
  </si>
  <si>
    <t>數位雲科技發展部</t>
    <phoneticPr fontId="50" type="noConversion"/>
  </si>
  <si>
    <t>com-lx-atc-01-ut-5e94c1</t>
  </si>
  <si>
    <t>數位雲端創研科</t>
  </si>
  <si>
    <t>數位智能API中台</t>
  </si>
  <si>
    <t>mid-lx-cai-01-ut-7eecdf</t>
    <phoneticPr fontId="50" type="noConversion"/>
  </si>
  <si>
    <t>00597577</t>
  </si>
  <si>
    <t>洪紹維</t>
  </si>
  <si>
    <t>鄭勤予</t>
  </si>
  <si>
    <t>00103202501287</t>
  </si>
  <si>
    <t>Account: va_5094a505eff14a90b4
Apikey: b453069e-b601-4941-80e8-a8c905998c59
TeamSn: 6777
Subject: SCT-01</t>
    <phoneticPr fontId="50" type="noConversion"/>
  </si>
  <si>
    <t>DGTCloudgroup@cathaybk.com.tw</t>
    <phoneticPr fontId="50" type="noConversion"/>
  </si>
  <si>
    <t>數位雲端創研科</t>
    <phoneticPr fontId="50" type="noConversion"/>
  </si>
  <si>
    <t>數位智能API中台</t>
    <phoneticPr fontId="50" type="noConversion"/>
  </si>
  <si>
    <t>mid-lx-cai-01-uat-3f63d0</t>
  </si>
  <si>
    <t>mid-lx-cai-01</t>
  </si>
  <si>
    <t>鄭忠穎</t>
  </si>
  <si>
    <t>mid-lx-cai-01-prod-7c6734</t>
  </si>
  <si>
    <t>Account：va_31fb2c4b44c5456dbd
Apikey：15a75dfd-1e90-487c-b1b9-dcec4a6fc231
TeamSn：10686
Subject：【GCP】【cubgcp-midlxcai01-prod】
【 mid-lx-cai-01-prod】</t>
  </si>
  <si>
    <t xml:space="preserve">dgtcloudadmin-gp@cathaybk.com.tw
</t>
  </si>
  <si>
    <t xml:space="preserve">技術開發科	</t>
    <phoneticPr fontId="50" type="noConversion"/>
  </si>
  <si>
    <t>數位雲(OKD)平台</t>
  </si>
  <si>
    <t>mid-lx-dgt-01-ut-4d1513</t>
  </si>
  <si>
    <t>封存</t>
    <phoneticPr fontId="50" type="noConversion"/>
  </si>
  <si>
    <t>技術開發科</t>
  </si>
  <si>
    <t>數位雲平台 - 多樣綜合應用服務</t>
  </si>
  <si>
    <t>mid-lx-mtc-01-prod-ecec7e</t>
  </si>
  <si>
    <t>GCP</t>
    <phoneticPr fontId="2" type="noConversion"/>
  </si>
  <si>
    <t>PROD</t>
    <phoneticPr fontId="2" type="noConversion"/>
  </si>
  <si>
    <t>00595138</t>
    <phoneticPr fontId="50" type="noConversion"/>
  </si>
  <si>
    <t>蔡孟庭</t>
    <phoneticPr fontId="50" type="noConversion"/>
  </si>
  <si>
    <t>Account: va_48e2f33c394744fca1
Apikey: 89081586-1786-4f62-9b4e-6024944443e7
TeamSn: 6537
Subject: DGTENG</t>
  </si>
  <si>
    <t>dgt_netap@cathaybk.com.tw; dgt_bop_calandar@cathaybk.com.tw</t>
    <phoneticPr fontId="50" type="noConversion"/>
  </si>
  <si>
    <t>mid-lx-mtc-01-uat-307412</t>
  </si>
  <si>
    <t>00103202600007</t>
  </si>
  <si>
    <t>mid-lx-mtc-01-ut-2ad747</t>
  </si>
  <si>
    <t>數位雲平台系統</t>
  </si>
  <si>
    <t>com-lx-dgt-01-ut-54ae50</t>
  </si>
  <si>
    <t>蔡坤儒</t>
  </si>
  <si>
    <t>周立偉</t>
  </si>
  <si>
    <t>目前是apigee poc在使用</t>
  </si>
  <si>
    <t>dla-poc-447003</t>
  </si>
  <si>
    <t>非AP</t>
    <phoneticPr fontId="50" type="noConversion"/>
  </si>
  <si>
    <t>LAB</t>
    <phoneticPr fontId="50" type="noConversion"/>
  </si>
  <si>
    <t>POC</t>
    <phoneticPr fontId="50" type="noConversion"/>
  </si>
  <si>
    <t>kafka-poc-64588</t>
  </si>
  <si>
    <t>資訊策略發展部</t>
    <phoneticPr fontId="50" type="noConversion"/>
  </si>
  <si>
    <t>體驗設計科(資策)</t>
    <phoneticPr fontId="50" type="noConversion"/>
  </si>
  <si>
    <t>UXD Portal</t>
  </si>
  <si>
    <t>mid-lx-uxd-01-prod-c9849e</t>
  </si>
  <si>
    <t>00586992</t>
  </si>
  <si>
    <t>晉祺恩</t>
    <phoneticPr fontId="50" type="noConversion"/>
  </si>
  <si>
    <t>張鑫郡</t>
  </si>
  <si>
    <t>Account：va_7bfb602d86ea4be3b5
Apikey：66ef36ef-4503-4ab0-9b40-117d00c666b9
TeamSn：9403
Subject：UXD Portal 預算-通知群組</t>
    <phoneticPr fontId="50" type="noConversion"/>
  </si>
  <si>
    <t>UXDSection-gp@cathaybk.com.tw</t>
  </si>
  <si>
    <t>phil.wang@cathaybk.com.tw</t>
  </si>
  <si>
    <t>mid-lx-uxd-01-uat-8ba7a1</t>
  </si>
  <si>
    <t>mid-lx-uxd-01-ut-743dbf</t>
  </si>
  <si>
    <t>KH@cathaybk.com.tw</t>
  </si>
  <si>
    <t>此案2025預計增加一個站台，以及一個既有站台的改版，可能導致使用費用上升，因此提高2025年度每月的月均估算。</t>
    <phoneticPr fontId="50" type="noConversion"/>
  </si>
  <si>
    <t>財務金融資訊部</t>
  </si>
  <si>
    <t>職能整合科</t>
  </si>
  <si>
    <t>自動偽冒爬網系統</t>
  </si>
  <si>
    <t>gai-cp-isd-01-uat-8cd98c</t>
    <phoneticPr fontId="50" type="noConversion"/>
  </si>
  <si>
    <t>00597002</t>
    <phoneticPr fontId="50" type="noConversion"/>
  </si>
  <si>
    <t>曾思綺</t>
    <phoneticPr fontId="50" type="noConversion"/>
  </si>
  <si>
    <t>張禾瑩</t>
  </si>
  <si>
    <t>Account：va_047af33832d64556af
Apikey：2135659e-bf31-4b42-8602-ac7d2d66197a
TeamSn：9044
Subject：[憑證預警] 自動偽冒爬網系統_維運團隊</t>
    <phoneticPr fontId="50" type="noConversion"/>
  </si>
  <si>
    <t>GAICPISD_ADM@cathaybk.com.tw</t>
    <phoneticPr fontId="50" type="noConversion"/>
  </si>
  <si>
    <t>phoebe0@cathaybk.com.tw</t>
  </si>
  <si>
    <t>建置中，預計 2025/05 中旬完成建置</t>
    <phoneticPr fontId="50" type="noConversion"/>
  </si>
  <si>
    <t>gai-cp-isd-01-ut-da8e15</t>
    <phoneticPr fontId="50" type="noConversion"/>
  </si>
  <si>
    <t>預計 2025/06 中旬完成建置</t>
  </si>
  <si>
    <t>資訊架構部</t>
  </si>
  <si>
    <t>資訊架構管理科</t>
  </si>
  <si>
    <t>iTSupport</t>
  </si>
  <si>
    <t>otr-lx-its-01-prod-9a03aa</t>
  </si>
  <si>
    <t>00501427</t>
    <phoneticPr fontId="50" type="noConversion"/>
  </si>
  <si>
    <t>陳維恰</t>
    <phoneticPr fontId="50" type="noConversion"/>
  </si>
  <si>
    <t>陳兆康</t>
  </si>
  <si>
    <t>Account：va_a9a2c886e9b14607bf
Apikey：0397b033-1fa0-4269-886f-312106703b58
TeamSn：9419
Subject：iSupport雲端費用告警通知</t>
  </si>
  <si>
    <t>chenw@cathaybk.com.tw;
roy.cho@cathaybk.com.tw;
bucawang@cathaybk.com.tw</t>
  </si>
  <si>
    <t>charles_tsao@cathaybk.com.tw</t>
  </si>
  <si>
    <t>iTSupport目前尚無具體新功能規劃，暫以過去最大月費用+30% (今年資料增量) 估算</t>
  </si>
  <si>
    <t>otr-lx-its-01-uat-47b257</t>
  </si>
  <si>
    <t>00501427</t>
  </si>
  <si>
    <t>otr-lx-its-01-ut-f6cce9</t>
  </si>
  <si>
    <t>資訊架構發展科</t>
  </si>
  <si>
    <t>M365 OneTelnet</t>
  </si>
  <si>
    <t>dw-adfs-lab</t>
  </si>
  <si>
    <t>00516468</t>
    <phoneticPr fontId="50" type="noConversion"/>
  </si>
  <si>
    <t>王世偉</t>
    <phoneticPr fontId="50" type="noConversion"/>
  </si>
  <si>
    <t>Jemi_Huang@cathaybk.com.tw</t>
  </si>
  <si>
    <t>雲端架構發展部</t>
  </si>
  <si>
    <t>雲端應用發展科</t>
    <phoneticPr fontId="50" type="noConversion"/>
  </si>
  <si>
    <t>公有雲APIM平台</t>
  </si>
  <si>
    <t>com-cp-api-01-ut-803d6b</t>
  </si>
  <si>
    <t>00583183</t>
  </si>
  <si>
    <t>0815預算調查</t>
  </si>
  <si>
    <t>Account：va_d976dfc6cc4941118b
Apikey：ae36cbd2-66fe-4e9e-ac10-e619e2b369a9
TeamSn：8891
Subject：雲端架構發展部-雲端應用發展科</t>
  </si>
  <si>
    <t xml:space="preserve">cloud02@cathaybk.com.tw
</t>
  </si>
  <si>
    <t>denchen@cathaybk.com.tw</t>
  </si>
  <si>
    <t>shared_infra</t>
    <phoneticPr fontId="50" type="noConversion"/>
  </si>
  <si>
    <t>公有雲平台管理系統</t>
  </si>
  <si>
    <t>otr-cp-rms-01-ut-9f18a8</t>
  </si>
  <si>
    <t>00590870</t>
  </si>
  <si>
    <t>蘇敏昕</t>
  </si>
  <si>
    <t>林雍原</t>
  </si>
  <si>
    <t>00015202602023</t>
  </si>
  <si>
    <t>Account：va_80b976a9746c44b6b4
Subject：Cloud RMS
TeamSn：8973
Apikey：fcf2116d-22b1-4d14-aa48-172dfec0e118</t>
  </si>
  <si>
    <t>cloud_work_develop@cathaybk.com.tw</t>
  </si>
  <si>
    <t>資安維運科</t>
  </si>
  <si>
    <t>特權帳號管理系統（PIM）</t>
    <phoneticPr fontId="50" type="noConversion"/>
  </si>
  <si>
    <t>otr-nt-pim-01-prod-7333cd</t>
    <phoneticPr fontId="50" type="noConversion"/>
  </si>
  <si>
    <t>00590780</t>
  </si>
  <si>
    <t>程元正</t>
  </si>
  <si>
    <t>Account：va_017202411319403bad
Subject：PIM小組
TeamSn：9406
Apikey：23bf1734-d47e-440d-ae79-75c08d1f0cd4</t>
  </si>
  <si>
    <t>bill2004@cathaybk.com.tw;
garywu@cathaybk.com.tw;
chengnan@cathaybk.com.tw</t>
    <phoneticPr fontId="50" type="noConversion"/>
  </si>
  <si>
    <t>特權帳號管理系統（PIM）</t>
  </si>
  <si>
    <t>otr-nt-pim-01-uat-4baf2c</t>
  </si>
  <si>
    <t>otr-nt-pim-01-ut-35a931</t>
  </si>
  <si>
    <t>bill2004@cathaybk.com.tw;
garywu@cathaybk.com.tw;
chengnan@cathaybk.com.tw</t>
  </si>
  <si>
    <t>雲端架構發展部</t>
    <phoneticPr fontId="50" type="noConversion"/>
  </si>
  <si>
    <t>cloud-dev-poc-440408</t>
  </si>
  <si>
    <t>雲端治理規劃科</t>
    <phoneticPr fontId="50" type="noConversion"/>
  </si>
  <si>
    <t>Apptio PoC</t>
    <phoneticPr fontId="50" type="noConversion"/>
  </si>
  <si>
    <t>ibm-finops-poc-438301</t>
  </si>
  <si>
    <t>雲端應用發展科</t>
  </si>
  <si>
    <t>SDK程式優化</t>
  </si>
  <si>
    <t>sdk-poc-01-ut-e35cb0</t>
  </si>
  <si>
    <t>00585990</t>
  </si>
  <si>
    <t>00015202601741</t>
  </si>
  <si>
    <t>Account：va_4bf0a7ae26434d6784
Subject：iCathay POC
TeamSn：9149
Apikey：a18b6a5f-29c1-4354-b230-ea3e8a2a5ac7</t>
  </si>
  <si>
    <t>uat monitoring</t>
    <phoneticPr fontId="50" type="noConversion"/>
  </si>
  <si>
    <t>uat-monitoring-6bbb5e</t>
    <phoneticPr fontId="50" type="noConversion"/>
  </si>
  <si>
    <t>00590164</t>
  </si>
  <si>
    <t>prod monitoring</t>
    <phoneticPr fontId="50" type="noConversion"/>
  </si>
  <si>
    <t>prod-monitoring-603bfe</t>
  </si>
  <si>
    <t>雲端紀錄收容</t>
    <phoneticPr fontId="50" type="noConversion"/>
  </si>
  <si>
    <t>hub-logging-3cd1e7</t>
  </si>
  <si>
    <t>00591884</t>
  </si>
  <si>
    <t>林宬緯</t>
  </si>
  <si>
    <t>共用服務授權</t>
    <phoneticPr fontId="50" type="noConversion"/>
  </si>
  <si>
    <t>01A890-7C1B4C-AE7BA6</t>
    <phoneticPr fontId="50" type="noConversion"/>
  </si>
  <si>
    <t>免填</t>
    <phoneticPr fontId="50" type="noConversion"/>
  </si>
  <si>
    <t>帳務帳號，無預算</t>
  </si>
  <si>
    <t>網路架構</t>
    <phoneticPr fontId="50" type="noConversion"/>
  </si>
  <si>
    <t>prod-network-6ca3ab</t>
  </si>
  <si>
    <t>00586329</t>
  </si>
  <si>
    <t>00015202601813</t>
  </si>
  <si>
    <t>共用管理服務</t>
    <phoneticPr fontId="50" type="noConversion"/>
  </si>
  <si>
    <t>prod-shared-services-60cec2</t>
  </si>
  <si>
    <t>00587000</t>
  </si>
  <si>
    <t>00015202506459</t>
  </si>
  <si>
    <t>ut-network-2bdac9</t>
  </si>
  <si>
    <t>uat-network-0777ad</t>
  </si>
  <si>
    <t>uat-shared-services-912172</t>
  </si>
  <si>
    <t>BCM2.0雲端資料備份</t>
    <phoneticPr fontId="50" type="noConversion"/>
  </si>
  <si>
    <t>bcm-data-replica</t>
    <phoneticPr fontId="50" type="noConversion"/>
  </si>
  <si>
    <t>00592172</t>
    <phoneticPr fontId="50" type="noConversion"/>
  </si>
  <si>
    <t>林武慶</t>
    <phoneticPr fontId="50" type="noConversion"/>
  </si>
  <si>
    <t>林武慶</t>
  </si>
  <si>
    <t>非AP上線專案，故沒有設定閾值</t>
    <phoneticPr fontId="50" type="noConversion"/>
  </si>
  <si>
    <t>ut-shared-services-dd4f7f</t>
  </si>
  <si>
    <t>@4/1</t>
  </si>
  <si>
    <t>hub-network-10a155</t>
  </si>
  <si>
    <t>hub-shared-servicess-db8bfe</t>
  </si>
  <si>
    <t>監控告警服務</t>
    <phoneticPr fontId="50" type="noConversion"/>
  </si>
  <si>
    <t>ut-monitoring-ac02b3</t>
  </si>
  <si>
    <t>雲端服務資安檢測</t>
    <phoneticPr fontId="50" type="noConversion"/>
  </si>
  <si>
    <t>gcp-cspr</t>
  </si>
  <si>
    <t>共用容器服務</t>
    <phoneticPr fontId="50" type="noConversion"/>
  </si>
  <si>
    <t>kubernetes-ut-59ddab</t>
  </si>
  <si>
    <t>kubernetes-prod-731012</t>
  </si>
  <si>
    <t>kubernetes-uat-de883e</t>
  </si>
  <si>
    <t>TFE IaC自動化部署</t>
    <phoneticPr fontId="50" type="noConversion"/>
  </si>
  <si>
    <t>cub-tfe-admin</t>
    <phoneticPr fontId="50" type="noConversion"/>
  </si>
  <si>
    <t>hub-monitoring-339f0c</t>
  </si>
  <si>
    <t>SCCE</t>
    <phoneticPr fontId="50" type="noConversion"/>
  </si>
  <si>
    <t>hub-secops</t>
    <phoneticPr fontId="50" type="noConversion"/>
  </si>
  <si>
    <t>無架構師</t>
  </si>
  <si>
    <t>資安管理服務</t>
    <phoneticPr fontId="50" type="noConversion"/>
  </si>
  <si>
    <t>hub-security-services</t>
    <phoneticPr fontId="50" type="noConversion"/>
  </si>
  <si>
    <t>prod-kubernetes-d6799e</t>
  </si>
  <si>
    <t>海外通路</t>
  </si>
  <si>
    <t>越南胡志明市分行</t>
  </si>
  <si>
    <t>資訊科技組</t>
  </si>
  <si>
    <t>越南消金官網</t>
  </si>
  <si>
    <t>ovs-lx-vib-01-prod-59a8e4</t>
  </si>
  <si>
    <t>00590489</t>
  </si>
  <si>
    <t>顏佳瑜</t>
    <phoneticPr fontId="50" type="noConversion"/>
  </si>
  <si>
    <t>Account：va_1304d18c25864e828d
Apikey：587d3917-5216-4da5-aad4-14798c6e4214
TeamSn：7984
Subject：VNRB | VIB Maintainers</t>
    <phoneticPr fontId="50" type="noConversion"/>
  </si>
  <si>
    <t>vn_it_ap@vn.cathaybk.com</t>
  </si>
  <si>
    <t>lwj@cathaybk.com.tw</t>
  </si>
  <si>
    <t>NT48008@cathaybk.com.tw</t>
  </si>
  <si>
    <t>ovs-lx-vib-01-uat-009355</t>
  </si>
  <si>
    <t>ovs-lx-vib-01-ut-a4c727</t>
  </si>
  <si>
    <t>越南消金核心系統（INTELLECT）</t>
  </si>
  <si>
    <t>ovs-lx-vbs-01-prod-02ac45</t>
  </si>
  <si>
    <t>顏佳瑜</t>
  </si>
  <si>
    <t>Account：va_34f4729e2a0148e09a
Apikey：991f7186-4799-4dbd-8734-09575e60d369
TeamSn：8009
Subject：VNRB | VBS Maintainers</t>
    <phoneticPr fontId="50" type="noConversion"/>
  </si>
  <si>
    <t>ovs-lx-vbs-01-uat-fef3b8</t>
  </si>
  <si>
    <t>ovs-lx-vbs-01-ut-d5faf4</t>
  </si>
  <si>
    <t>越南消金進件徵審系統（HES）</t>
  </si>
  <si>
    <t>ovs-lx-vlo-01-prod-d1badc</t>
  </si>
  <si>
    <t>00595567</t>
  </si>
  <si>
    <t>陳琨柏</t>
  </si>
  <si>
    <t>Account：va_5788f1d9cac045999f
Apikey：2659c9d7-a39c-4441-ae34-453219ca348b
TeamSn：7752
Subject：VNRB | HES Maintainers</t>
    <phoneticPr fontId="50" type="noConversion"/>
  </si>
  <si>
    <t>ovs-lx-vlo-01-uat-032298</t>
  </si>
  <si>
    <t>ovs-lx-vlo-01-ut-798634</t>
  </si>
  <si>
    <t>越南雲端業務中台</t>
  </si>
  <si>
    <t>ovs-lx-vcp-01-prod-75266d</t>
  </si>
  <si>
    <t>Account：va_5788f1d9cac045999f
Apikey：2659c9d7-a39c-4441-ae34-453219ca348b
TeamSn：7980
Subject：VNRB | HES Maintainers</t>
    <phoneticPr fontId="50" type="noConversion"/>
  </si>
  <si>
    <t>ovs-lx-vcp-01-uat-162cd1</t>
  </si>
  <si>
    <t>ovs-lx-vcp-01-ut-f2b400</t>
  </si>
  <si>
    <t>國際資訊部</t>
    <phoneticPr fontId="50" type="noConversion"/>
  </si>
  <si>
    <t>企業平台科</t>
    <phoneticPr fontId="50" type="noConversion"/>
  </si>
  <si>
    <t>海外官網</t>
  </si>
  <si>
    <t>ovs-nt-www-01-prod-a6121c</t>
    <phoneticPr fontId="50" type="noConversion"/>
  </si>
  <si>
    <t>00503833</t>
    <phoneticPr fontId="50" type="noConversion"/>
  </si>
  <si>
    <t>王守育</t>
    <phoneticPr fontId="50" type="noConversion"/>
  </si>
  <si>
    <t>Account：va_ab1926fe8a8e4053a1
Apikey：c141fa4e-ff66-4301-a523-1f36d9d82c17
TeamSn：9395
Subject：海外官網專案告警通知群</t>
  </si>
  <si>
    <t>OVERSEAS_CMS_AP@cathaybk.com.tw</t>
  </si>
  <si>
    <t>NT82267@cathaybk.com.tw</t>
  </si>
  <si>
    <t>stevenc@cathaybk.com.tw</t>
  </si>
  <si>
    <t>此為四月新建服務，所以沒有前面的使用花費</t>
  </si>
  <si>
    <t>ovs-nt-www-01-uat-106b6a</t>
    <phoneticPr fontId="50" type="noConversion"/>
  </si>
  <si>
    <t>Account：va_ab1926fe8a8e4053a1
Apikey：c141fa4e-ff66-4301-a523-1f36d9d82c17
TeamSn：9395
Subject：海外官網專案告警通知群</t>
    <phoneticPr fontId="50" type="noConversion"/>
  </si>
  <si>
    <t>OVERSEAS_CMS_AP@cathaybk.com.tw</t>
    <phoneticPr fontId="50" type="noConversion"/>
  </si>
  <si>
    <t>ovs-nt-www-01-ut</t>
  </si>
  <si>
    <t>00503833</t>
  </si>
  <si>
    <t>專案管理科</t>
  </si>
  <si>
    <t>海外推播平台</t>
  </si>
  <si>
    <t>mid-cp-spn-01-prod-835b46</t>
  </si>
  <si>
    <t>00591517</t>
  </si>
  <si>
    <t>楊椉淵</t>
    <phoneticPr fontId="50" type="noConversion"/>
  </si>
  <si>
    <t>楊永成​</t>
  </si>
  <si>
    <t>NT96520@cathaybk.com.tw; NT95733@cathaybk.com.tw</t>
    <phoneticPr fontId="50" type="noConversion"/>
  </si>
  <si>
    <t>以今年3月為基礎 (因加入前端App測試，較符合未來使用情境)，並預估10%成長量</t>
  </si>
  <si>
    <t>mid-cp-spn-01-uat-fb79b8</t>
  </si>
  <si>
    <t>UAT</t>
    <phoneticPr fontId="2" type="noConversion"/>
  </si>
  <si>
    <t>以今年3月為基礎 (因加入前端App測試，較符合未來使用情境)，並預估10%成長量</t>
    <phoneticPr fontId="50" type="noConversion"/>
  </si>
  <si>
    <t>mid-cp-spn-01-ut-c85193</t>
  </si>
  <si>
    <t>UT</t>
    <phoneticPr fontId="2" type="noConversion"/>
  </si>
  <si>
    <t>國際資訊部</t>
  </si>
  <si>
    <t>科技應用科</t>
  </si>
  <si>
    <t>SEA LINK 海外一站式跨售運營平台</t>
  </si>
  <si>
    <t>ovs-cp-lnk-01-prod-5ba4ea</t>
  </si>
  <si>
    <t>00549172</t>
  </si>
  <si>
    <t>王至勛</t>
    <phoneticPr fontId="50" type="noConversion"/>
  </si>
  <si>
    <t>何崧宇​</t>
  </si>
  <si>
    <t xml:space="preserve">Account：va_646809303f0a456da0
Apikey：58305bed-4a80-4b3d-8ba0-e921c790e783
TeamSn：7303
Subject：OVS-CP-LNK-01 </t>
  </si>
  <si>
    <t xml:space="preserve">SEALinkservice@cathaybk.com.tw </t>
  </si>
  <si>
    <t>2025Q1  average為基礎，考慮架構調整以推至PROD時程滯後
以25% 增幅為2025全年與平均值預估。</t>
  </si>
  <si>
    <t>ovs-cp-lnk-01-uat-f6bc9a</t>
  </si>
  <si>
    <t>2025Q1  average為基礎，考慮架構預計於Q2起新增1~2顆POD (SMS與EDM/Notify/短網址)、DB資源擴充，
以45% 增幅為2025全年與平均值預估。</t>
  </si>
  <si>
    <t>ovs-cp-lnk-01-ut-7c0f0d</t>
  </si>
  <si>
    <t>2025Q1  average為基礎，考慮架構預計於Q2起新增1~2顆POD (SMS與EDM/Notify/短網址)、DB資源擴充，
以50% 增幅為2025全年與平均值預估。</t>
  </si>
  <si>
    <t>科技應用科</t>
    <phoneticPr fontId="50" type="noConversion"/>
  </si>
  <si>
    <t>柬埔寨子行 MERCHANT APP</t>
  </si>
  <si>
    <t>ovs-lx-kma-01-uat-9e4dd2</t>
  </si>
  <si>
    <t>00582144</t>
  </si>
  <si>
    <t>洪培華</t>
    <phoneticPr fontId="50" type="noConversion"/>
  </si>
  <si>
    <t>Account：va_201e524d3e1d45e59d
API_Key：3f87f490-759e-4ad5-9571-fa5f8853672e
TeamSn : 9429
Subject : Cambodia App</t>
  </si>
  <si>
    <t>NT98625@cathaybk.com.tw; NT96152@cathaybk.com.tw; NT95319@cathaybk.com.tw</t>
  </si>
  <si>
    <t>ovs-lx-kma-01-ut-3ab020</t>
  </si>
  <si>
    <t>柬埔寨子行數位APP</t>
  </si>
  <si>
    <t>ovs-lx-kmb-01-prod-0c9e0a</t>
  </si>
  <si>
    <t>NT89963@cathaybk.com.tw; NT96152@cathaybk.com.tw</t>
  </si>
  <si>
    <t>ovs-lx-kmb-01-uat-d382eb</t>
  </si>
  <si>
    <t>ovs-lx-kmb-01-ut-be2427</t>
  </si>
  <si>
    <t>越南個人行動銀行</t>
  </si>
  <si>
    <t>ovs-lx-vmb-01-prod-d09c20</t>
  </si>
  <si>
    <t>00595867</t>
    <phoneticPr fontId="50" type="noConversion"/>
  </si>
  <si>
    <t>邱治傑</t>
    <phoneticPr fontId="50" type="noConversion"/>
  </si>
  <si>
    <t>Account：va_a06b52b505594c6d99
Apikey：8b0cc649-e7a1-44e0-a5a0-95d40d60b0ec
TeamSn：9407
Subject：ovs-lx-vmb-01</t>
  </si>
  <si>
    <t>NT49028@cathaybk.com.tw; NT95756@cathaybk.com.tw; NT92836@cathaybk.com.tw; NT92015@cathaybk.com.tw; veison.wang@cathaybk.com.tw; NT95867@cathaybk.com.tw</t>
    <phoneticPr fontId="50" type="noConversion"/>
  </si>
  <si>
    <t>假定服務數不變情況下，以2025年Q1費用為基礎，2025年3月對2024年12月平均每日費用成長率作為估算，計算2025全年費用預估</t>
  </si>
  <si>
    <t>ovs-lx-vmb-01-uat-efc7cd</t>
  </si>
  <si>
    <t>00595867</t>
  </si>
  <si>
    <t>ovs-lx-vmb-01-ut-6cc127</t>
  </si>
  <si>
    <t>海外數據科技小組</t>
  </si>
  <si>
    <t>越南雲端資料分析探索平台</t>
  </si>
  <si>
    <t>ovs-lx-vap-01-prod-443d00</t>
  </si>
  <si>
    <t>00589412</t>
  </si>
  <si>
    <t>洪靖雅</t>
  </si>
  <si>
    <t>00105202600864</t>
  </si>
  <si>
    <t>Account：va_610da42ca9784cf0b9
Apikey：b0a1dd07-69d4-4fa1-88ef-2a282c210ee0
TeamSn：9431
Subject：VAP-銀行GCP預算Alert 群組</t>
  </si>
  <si>
    <t>ovslxvndataop@cathaybk.com.tw</t>
  </si>
  <si>
    <t>越南雲端資料分析探索平台</t>
    <phoneticPr fontId="50" type="noConversion"/>
  </si>
  <si>
    <t>ovs-lx-vap-01-ut-73b1b4</t>
  </si>
  <si>
    <t>越南雲端數據中台</t>
  </si>
  <si>
    <t>ovs-lx-vdo-01-prod-d27767</t>
    <phoneticPr fontId="50" type="noConversion"/>
  </si>
  <si>
    <t>00102202501251</t>
  </si>
  <si>
    <t>Account：va_467194009d6642aaae
Apikey：cb4c1e91-3724-4574-b8a1-382321833ddb
TeamSn：9430
Subject：VDO-銀行GCP預算Alert 群組</t>
  </si>
  <si>
    <t>ovs-lx-vdo-01-uat-d545f3</t>
    <phoneticPr fontId="50" type="noConversion"/>
  </si>
  <si>
    <t>ovs-lx-vdo-01-ut-6869fc</t>
    <phoneticPr fontId="50" type="noConversion"/>
  </si>
  <si>
    <t>AP 資訊管理平台</t>
    <phoneticPr fontId="2" type="noConversion"/>
  </si>
  <si>
    <t>otr-cp-b2e-01-prod-7bb53b</t>
  </si>
  <si>
    <t>00591065</t>
    <phoneticPr fontId="50" type="noConversion"/>
  </si>
  <si>
    <t>葉修瑋</t>
    <phoneticPr fontId="50" type="noConversion"/>
  </si>
  <si>
    <t>趙亮</t>
    <phoneticPr fontId="50" type="noConversion"/>
  </si>
  <si>
    <t>Account: va_bd3fb2926d4745b7b0
ApiKey: 0ab65235-c89e-4876-a8ea-52a6df03c3ff
TeamSn: 4743
Subject: APInfo</t>
  </si>
  <si>
    <t>梁勝迪[Dixson Liang] &lt;sdliang@cathaybk.com.tw&gt;; 
范修銘05058[Gary Fan] &lt;gary_fan@cathaybk.com.tw&gt;; 
葉修瑋 &lt;NT91065@cathaybk.com.tw&gt;; 
林宜呈95467 &lt;NT95467@cathaybk.com.tw&gt;</t>
  </si>
  <si>
    <t>AP 資訊管理平台</t>
  </si>
  <si>
    <t>otr-cp-b2e-01-uat-cac2fc</t>
  </si>
  <si>
    <t>00591065</t>
  </si>
  <si>
    <t>otr-cp-b2e-01-ut-d4badc</t>
  </si>
  <si>
    <t>職能整合科</t>
    <phoneticPr fontId="50" type="noConversion"/>
  </si>
  <si>
    <t>iMatch人才招募管理</t>
  </si>
  <si>
    <t>hrd-lx-fnd-01-prod-22138d</t>
  </si>
  <si>
    <t>00586811</t>
  </si>
  <si>
    <t>陳郁晴</t>
    <phoneticPr fontId="50" type="noConversion"/>
  </si>
  <si>
    <t>莊坤遠</t>
    <phoneticPr fontId="50" type="noConversion"/>
  </si>
  <si>
    <t>Account：va_71cbdc5c7b4f4910a7
Apikey：e0578165-f34b-4aa6-b6ca-d37bc5dff34d
TeamSn：5914
Subject：iMatch 人才招募管理通知</t>
  </si>
  <si>
    <t>梁勝迪[Dixson Liang] &lt;sdliang@cathaybk.com.tw&gt;; 
范修銘05058[Gary Fan] &lt;gary_fan@cathaybk.com.tw&gt;; 
陳郁晴 &lt;NT86811@cathaybk.com.tw&gt;; 
林宜呈95467 &lt;NT95467@cathaybk.com.tw&gt;; 
郭致甯 &lt;NT96752@cathaybk.com.tw&gt;;</t>
  </si>
  <si>
    <t>hrd-lx-fnd-01-uat-a6ad54</t>
  </si>
  <si>
    <t>hrd-lx-fnd-01-ut-f28acc</t>
  </si>
  <si>
    <t>員工休閒及宿舍借用系統</t>
  </si>
  <si>
    <t>otr-nt-b2e-19-prod-6055f5</t>
  </si>
  <si>
    <t>00595002</t>
    <phoneticPr fontId="50" type="noConversion"/>
  </si>
  <si>
    <t>劉烜嘉</t>
    <phoneticPr fontId="50" type="noConversion"/>
  </si>
  <si>
    <t>Account：va_5d72313707824bbcb3
ApiKey：b9529d7d-afe0-49fe-bb62-0fb7da663afe
TeamSn: 9434
Subject: 員工休閒及宿舍借用系統</t>
  </si>
  <si>
    <t>梁勝迪[Dixson Liang] &lt;sdliang@cathaybk.com.tw&gt;; 
周志弘[George Chou] &lt;georgechou@cathaybk.com.tw&gt; ;
張怡君 &lt;NT97310@cathaybk.com.tw&gt;;
劉烜嘉 &lt;NT95002@cathaybk.com.tw&gt;</t>
  </si>
  <si>
    <t>otr-nt-b2e-19-uat-faeffa</t>
  </si>
  <si>
    <t>00595002</t>
  </si>
  <si>
    <t>otr-nt-b2e-19-ut-fcc83e</t>
  </si>
  <si>
    <t>策略人力佈局管理系統</t>
  </si>
  <si>
    <t>hrd-lx-shm-01-prod-e8b307</t>
  </si>
  <si>
    <t>楊椉淵​</t>
    <phoneticPr fontId="50" type="noConversion"/>
  </si>
  <si>
    <t>Account: va_bd3fb2926d4745b7b0
ApiKey: 0ab65235-c89e-4876-a8ea-52a6df03c3ff
TeamSn: 4743
Subject: iCare&amp;iHave</t>
  </si>
  <si>
    <t>梁勝迪[Dixson Liang] &lt;sdliang@cathaybk.com.tw&gt;; 
范修銘05058[Gary Fan] &lt;gary_fan@cathaybk.com.tw&gt;; 
陳郁晴 &lt;NT86811@cathaybk.com.tw&gt;; 
葉修瑋 &lt;NT91065@cathaybk.com.tw&gt;; 
王俊皓 &lt;NT97164@cathaybk.com.tw&gt;;</t>
  </si>
  <si>
    <t>iCare、iHave(預計5月份中旬開始使用)</t>
  </si>
  <si>
    <t>hrd-lx-shm-01-uat-c2dc41</t>
  </si>
  <si>
    <t>iCare、iHave</t>
  </si>
  <si>
    <t>hrd-lx-shm-01-ut-b19499</t>
  </si>
  <si>
    <t>核心轉型資訊部</t>
  </si>
  <si>
    <t>核心架構科</t>
  </si>
  <si>
    <t>越南核心系統</t>
  </si>
  <si>
    <t>cbs-cp-vnm-01-ut-9ad746</t>
  </si>
  <si>
    <t>00517010</t>
    <phoneticPr fontId="50" type="noConversion"/>
  </si>
  <si>
    <t xml:space="preserve"> 邱建達</t>
  </si>
  <si>
    <t>周立偉</t>
    <phoneticPr fontId="50" type="noConversion"/>
  </si>
  <si>
    <t>核心現代化</t>
  </si>
  <si>
    <t>00019202500911</t>
  </si>
  <si>
    <t>Account：va_9db8a68eeae04c2f87
ApiKey：65682c5d-a4d2-402f-8320-7a747155fe58
TeamSn：10885
Subject：現代化核心越南告警通知群</t>
  </si>
  <si>
    <t>CBST60@cathaybk.com.tw</t>
  </si>
  <si>
    <t>NT5049@cathaybk.com.tw</t>
  </si>
  <si>
    <t xml:space="preserve">專案目前為分階段建置與執行，因此目前預算設定為每月 US $10000，未來正式上線請通知帳務小組，將會協助將預算設定成每月 US $29058.72
</t>
  </si>
  <si>
    <t>企金授信科</t>
    <phoneticPr fontId="50" type="noConversion"/>
  </si>
  <si>
    <t>法金授信ESG系統</t>
  </si>
  <si>
    <t>lon-cp-esg-01-prod-0021a4</t>
    <phoneticPr fontId="50" type="noConversion"/>
  </si>
  <si>
    <t>lon-cp-esg-01-uat-558b69</t>
  </si>
  <si>
    <t>lon-cp-esg-01-ut-f84129</t>
  </si>
  <si>
    <t>共通中台科</t>
  </si>
  <si>
    <t>核心中台資訊服務平台系統</t>
  </si>
  <si>
    <t>mid-lx-csd-01-ut-c699d9</t>
  </si>
  <si>
    <t>00585532</t>
  </si>
  <si>
    <t>彭至淳</t>
    <phoneticPr fontId="50" type="noConversion"/>
  </si>
  <si>
    <t>林雍原</t>
    <phoneticPr fontId="50" type="noConversion"/>
  </si>
  <si>
    <t>團隊帳號：va_780e789d487b4f3ba5
API_Key：59d9e34a-c967-499b-9e5a-ae1ce11483b3
團隊編號：5710
團隊名稱：核心中台 - 資訊服務平台維運小組</t>
    <phoneticPr fontId="50" type="noConversion"/>
  </si>
  <si>
    <t>ED75@cathaybk.com.tw;
CMPT@cathaybk.com.tw</t>
    <phoneticPr fontId="50" type="noConversion"/>
  </si>
  <si>
    <t>PoC 案 預計7-9月進行測試</t>
  </si>
  <si>
    <t>applications</t>
  </si>
  <si>
    <t>pr-1e62721860c9b007</t>
  </si>
  <si>
    <t>00504456</t>
  </si>
  <si>
    <t>陳淑茹</t>
    <phoneticPr fontId="50" type="noConversion"/>
  </si>
  <si>
    <t>MongoDB Atlas</t>
  </si>
  <si>
    <t>授信整合平台系統</t>
  </si>
  <si>
    <t>lon-lx-lip-01-ut-c3a025</t>
  </si>
  <si>
    <t>00513164</t>
    <phoneticPr fontId="50" type="noConversion"/>
  </si>
  <si>
    <t>周時如</t>
    <phoneticPr fontId="50" type="noConversion"/>
  </si>
  <si>
    <t>00085202501038</t>
    <phoneticPr fontId="50" type="noConversion"/>
  </si>
  <si>
    <t>LIP_PLN_ADM@cathaybk.com.tw</t>
  </si>
  <si>
    <t>此案為PoC，預定測試至 2025/06完成PoC評估結案</t>
  </si>
  <si>
    <t>智能風控發展科</t>
  </si>
  <si>
    <t>（EWS）早期預警系統</t>
  </si>
  <si>
    <t>fnm-nt-ews-01-prod-9e8766</t>
  </si>
  <si>
    <t>00582770</t>
  </si>
  <si>
    <t>莫舒蔓</t>
    <phoneticPr fontId="50" type="noConversion"/>
  </si>
  <si>
    <t>張格誌</t>
    <phoneticPr fontId="50" type="noConversion"/>
  </si>
  <si>
    <t>Account：va_12aca3eb8b51446088
Apikey：6ce77fb3-3e5f-42d4-a18e-d305f668c54a
TeamSn：7132
Subject：EWS系統監控通知</t>
    <phoneticPr fontId="50" type="noConversion"/>
  </si>
  <si>
    <t>NT44981@cathaybk.com.tw;
NT82770@cathaybk.com.tw;
NT91579@cathaybk.com.tw</t>
    <phoneticPr fontId="50" type="noConversion"/>
  </si>
  <si>
    <t>whitney@cathaybk.com.tw</t>
  </si>
  <si>
    <t>fnm-nt-ews-01-uat-d9f643</t>
  </si>
  <si>
    <t>fnm-nt-ews-01-ut-3c4858</t>
  </si>
  <si>
    <t>NT44981@cathaybk.com.tw;
NT82770@cathaybk.com.tw;
NT91579@cathaybk.com.tw</t>
  </si>
  <si>
    <t>信用卡發卡科</t>
    <phoneticPr fontId="50" type="noConversion"/>
  </si>
  <si>
    <t>信用卡主機輕量化-授權系統建置PoC</t>
  </si>
  <si>
    <t>crd-mf-cca-01-poc</t>
  </si>
  <si>
    <t>00595006</t>
    <phoneticPr fontId="50" type="noConversion"/>
  </si>
  <si>
    <t>曾威凱</t>
    <phoneticPr fontId="50" type="noConversion"/>
  </si>
  <si>
    <t>00011202505129</t>
  </si>
  <si>
    <t xml:space="preserve">Account：va_588c5cbe368440d9a5
Apikey：dad38680-0ff3-4870-973b-20e27a5f13ec
TeamSn：4289
Subject：信用卡主機輕量化專案費用告警通知 </t>
  </si>
  <si>
    <t>IssueTeam3@cathaybk.com.tw</t>
  </si>
  <si>
    <t>10/31 PoC結束</t>
  </si>
  <si>
    <t>信用卡發卡科</t>
  </si>
  <si>
    <t>信用卡紅利平台</t>
  </si>
  <si>
    <t>crd-nt-use-27-prod-87c344</t>
  </si>
  <si>
    <t>00582527</t>
    <phoneticPr fontId="50" type="noConversion"/>
  </si>
  <si>
    <t>楊書豪</t>
  </si>
  <si>
    <t>Account：va_588c5cbe368440d9a5
Apikey：dad38680-0ff3-4870-973b-20e27a5f13ec
TeamSn：4289
Subject：紅利平台雲端專案費用告警通知</t>
  </si>
  <si>
    <t>crd-nt-use-27-uat-a2e0b3</t>
  </si>
  <si>
    <t>00582527</t>
  </si>
  <si>
    <t>何政軒</t>
    <phoneticPr fontId="50" type="noConversion"/>
  </si>
  <si>
    <t>crd-nt-use-27-ut-3840a0</t>
  </si>
  <si>
    <t>信用卡收單科</t>
  </si>
  <si>
    <t>信用卡網路收單系統</t>
  </si>
  <si>
    <t>crd-nt-pos-01-prod-f4a5ac</t>
  </si>
  <si>
    <t>00540268</t>
    <phoneticPr fontId="50" type="noConversion"/>
  </si>
  <si>
    <t xml:space="preserve">白陽明 </t>
    <phoneticPr fontId="50" type="noConversion"/>
  </si>
  <si>
    <t>陳宇鋒​</t>
    <phoneticPr fontId="50" type="noConversion"/>
  </si>
  <si>
    <t>Account：va_cc5f939cd8be49c482
Apikey：11c20e16-9110-4a98-923d-62799b9e0b13
TeamSn：4355
Subject：EPOS 雲端專案費用告警通知</t>
  </si>
  <si>
    <t>EPOSTeam@cathaybk.com.tw</t>
  </si>
  <si>
    <t>crd-nt-pos-01-uat-5d46da</t>
  </si>
  <si>
    <t>00540268</t>
  </si>
  <si>
    <t>crd-nt-pos-01-ut-4d4c3a</t>
  </si>
  <si>
    <t>智能風控發展科</t>
    <phoneticPr fontId="50" type="noConversion"/>
  </si>
  <si>
    <t>風控應用平台 - 整合</t>
  </si>
  <si>
    <t>fnm-cp-rcp-01-uat-0a098f</t>
  </si>
  <si>
    <t>00582770</t>
    <phoneticPr fontId="50" type="noConversion"/>
  </si>
  <si>
    <t>楊士平</t>
    <phoneticPr fontId="50" type="noConversion"/>
  </si>
  <si>
    <t>Account：va_16e3e2bffbd54741bc
Apikey：a60ecf7f-a90f-4158-9caa-a45630333c6f
TeamSn：9410
Subject：R平方系統監控通知</t>
    <phoneticPr fontId="50" type="noConversion"/>
  </si>
  <si>
    <t>fnm-cp-rcp-01-ut-50207a</t>
  </si>
  <si>
    <t>特店風險管理系統</t>
  </si>
  <si>
    <t>crd-nt-use-20-prod-9d22f3</t>
  </si>
  <si>
    <t>00589119</t>
    <phoneticPr fontId="50" type="noConversion"/>
  </si>
  <si>
    <t>張雅嵐</t>
    <phoneticPr fontId="50" type="noConversion"/>
  </si>
  <si>
    <t>江啓霖</t>
    <phoneticPr fontId="50" type="noConversion"/>
  </si>
  <si>
    <t>Account：va_d39b4ad9260e4905bc
Apikey：4410f3ab-5a0c-40ed-a64a-921159d7a368
TeamSn：8736
Subject：實體收單小組</t>
  </si>
  <si>
    <t>NMIPTeam-Card2@cathaybk.com.tw</t>
  </si>
  <si>
    <t>crd-nt-use-20-uat-9bb731</t>
  </si>
  <si>
    <t>00589119</t>
  </si>
  <si>
    <t>crd-nt-use-20-ut-3843c4</t>
  </si>
  <si>
    <t>TSCC電子錢包管理系統</t>
    <phoneticPr fontId="50" type="noConversion"/>
  </si>
  <si>
    <t>crd-nt-act-15-uat-3a5aea</t>
  </si>
  <si>
    <t>00512745</t>
  </si>
  <si>
    <t>林欣蓉</t>
    <phoneticPr fontId="50" type="noConversion"/>
  </si>
  <si>
    <t>林柏宏</t>
    <phoneticPr fontId="50" type="noConversion"/>
  </si>
  <si>
    <t>00011202504552</t>
    <phoneticPr fontId="50" type="noConversion"/>
  </si>
  <si>
    <t>Account：va_4448fd74f1ff4073b3
Apikey：d3eee21c-b953-4bbf-acf2-b3ac58321a9b
TeamSn：4449
Subject：信用卡外圍發卡監控二組</t>
  </si>
  <si>
    <t xml:space="preserve">IssueTeam2@cathaybk.com.tw
whitney@cathaybk.com.tw
</t>
  </si>
  <si>
    <t>crd-nt-act-15-ut-e41994</t>
  </si>
  <si>
    <t>00512745</t>
    <phoneticPr fontId="50" type="noConversion"/>
  </si>
  <si>
    <t>00011202504297</t>
  </si>
  <si>
    <t>雲端影像辨識平台</t>
    <phoneticPr fontId="50" type="noConversion"/>
  </si>
  <si>
    <t>com-cp-ocr-01-ut-8e02e8</t>
  </si>
  <si>
    <t>00590550</t>
    <phoneticPr fontId="50" type="noConversion"/>
  </si>
  <si>
    <t>陳映岑</t>
    <phoneticPr fontId="50" type="noConversion"/>
  </si>
  <si>
    <t>Account：va_e60ce81eebf24b2599
API_Key：506283e4-64dc-4af0-b493-28863d29084f
TeamSn：9405
Subject：雲端影像辨識-專案費用告警通知</t>
  </si>
  <si>
    <t>OCR@cathaybk.com.tw</t>
  </si>
  <si>
    <t>簡易貸款進件徵審系統</t>
  </si>
  <si>
    <t>crd-nt-cap-02-uat-ff3ade</t>
  </si>
  <si>
    <t>00544951</t>
    <phoneticPr fontId="50" type="noConversion"/>
  </si>
  <si>
    <t>鄭楷霖</t>
  </si>
  <si>
    <t>陳宇鋒</t>
    <phoneticPr fontId="50" type="noConversion"/>
  </si>
  <si>
    <t>Account：va_a629f385ea6c4ed8b1
Apikey：a17bc86b-1848-4271-aeea-9c6ee692db50
TeamSn：4505
Subject：信用卡外圍發卡監控一組</t>
    <phoneticPr fontId="50" type="noConversion"/>
  </si>
  <si>
    <t>IssueTeam1@cathaybk.com.tw</t>
  </si>
  <si>
    <t>簡易貸款進件徵審系統</t>
    <phoneticPr fontId="50" type="noConversion"/>
  </si>
  <si>
    <t>crd-nt-cap-02-ut-a95428</t>
  </si>
  <si>
    <t>個人金融資訊部</t>
    <phoneticPr fontId="50" type="noConversion"/>
  </si>
  <si>
    <t>信用卡收單科</t>
    <phoneticPr fontId="50" type="noConversion"/>
  </si>
  <si>
    <t>信用卡3D驗證系統</t>
    <phoneticPr fontId="50" type="noConversion"/>
  </si>
  <si>
    <t>crd-lx-acs-01-ut-cf08e5</t>
    <phoneticPr fontId="50" type="noConversion"/>
  </si>
  <si>
    <t>00589565</t>
    <phoneticPr fontId="50" type="noConversion"/>
  </si>
  <si>
    <t>李華益</t>
    <phoneticPr fontId="50" type="noConversion"/>
  </si>
  <si>
    <t>00011202601386</t>
  </si>
  <si>
    <t>Account：va_6a65791f884f47f2bf
Subject：
TeamSn：8120
Apikey：b607e792-695c-4e2d-bab8-cc5a2d5559d1</t>
    <phoneticPr fontId="50" type="noConversion"/>
  </si>
  <si>
    <t>ACSTeam@cathaybk.com.tw</t>
  </si>
  <si>
    <t>crd-lx-acs-01-uat-867ea6</t>
    <phoneticPr fontId="50" type="noConversion"/>
  </si>
  <si>
    <t xml:space="preserve">	信用卡發卡科</t>
    <phoneticPr fontId="50" type="noConversion"/>
  </si>
  <si>
    <t>crd-nt-cap-02-prod-e0a438</t>
  </si>
  <si>
    <t>00544951</t>
  </si>
  <si>
    <t xml:space="preserve">
陳宇鋒</t>
    <phoneticPr fontId="50" type="noConversion"/>
  </si>
  <si>
    <t>Account：va_a629f385ea6c4ed8b1
Apikey：a17bc86b-1848-4271-aeea-9c6ee692db50
TeamSn：4505
Subject：信用卡外圍發卡監控一組</t>
  </si>
  <si>
    <t>IssueTeam1@cathaybk.com.tw
kevintu@cathaybk.com.tw</t>
  </si>
  <si>
    <t>科技應用發展部</t>
  </si>
  <si>
    <t>運維整合科</t>
    <phoneticPr fontId="50" type="noConversion"/>
  </si>
  <si>
    <t>API管理系統</t>
  </si>
  <si>
    <t>audit-log-308502</t>
  </si>
  <si>
    <t xml:space="preserve">OTR-LX-API-01	</t>
    <phoneticPr fontId="50" type="noConversion"/>
  </si>
  <si>
    <t>00591907</t>
  </si>
  <si>
    <t>李維</t>
    <phoneticPr fontId="50" type="noConversion"/>
  </si>
  <si>
    <t>Account: va_727fb8a4d0e04fb0a1
API_Key: 9727b60d-06e8-4c38-ab45-23b1f319fbf4
TeanSn: 5232
Subject: 科發_DevOps_Team</t>
    <phoneticPr fontId="50" type="noConversion"/>
  </si>
  <si>
    <t>APIMadmin@cathaybk.com.tw</t>
  </si>
  <si>
    <t>otto@cathayholdings.com.tw</t>
  </si>
  <si>
    <t>kevintu@cathaybk.com.tw</t>
  </si>
  <si>
    <t>otr-lx-apim-prod</t>
    <phoneticPr fontId="50" type="noConversion"/>
  </si>
  <si>
    <t>otr-lx-apim-uat</t>
  </si>
  <si>
    <t>API管理系統</t>
    <phoneticPr fontId="50" type="noConversion"/>
  </si>
  <si>
    <t>otr-lx-apim-ut</t>
  </si>
  <si>
    <t>運維整合科</t>
  </si>
  <si>
    <t>TFS應用程式生命週期管理平台</t>
  </si>
  <si>
    <t>oas-nt-alm-01-prod-89cc2c</t>
  </si>
  <si>
    <t>00548035</t>
  </si>
  <si>
    <r>
      <t>楊鴻</t>
    </r>
    <r>
      <rPr>
        <sz val="12"/>
        <rFont val="新細明體-ExtB"/>
        <family val="2"/>
        <charset val="136"/>
      </rPr>
      <t>𨘏</t>
    </r>
    <phoneticPr fontId="50" type="noConversion"/>
  </si>
  <si>
    <t>oas-nt-alm-01-uat-36876a</t>
  </si>
  <si>
    <t>oas-nt-alm-01-ut-a33e88</t>
  </si>
  <si>
    <t>00083202600831</t>
  </si>
  <si>
    <t xml:space="preserve">科技研發科	</t>
    <phoneticPr fontId="50" type="noConversion"/>
  </si>
  <si>
    <t>雲原生共用服務平台</t>
  </si>
  <si>
    <t>mid-cp-cna-01-ut-c1e99c</t>
  </si>
  <si>
    <t>00587195</t>
  </si>
  <si>
    <t>梁芷瑄</t>
  </si>
  <si>
    <t>00083202600198</t>
  </si>
  <si>
    <t>Account: va_7348703a66cf4ea182
API_Key: 6889410b-5ed3-4d4a-957b-16c9cf903297
TeanSn: 8658
Subject:【CNA】GCP 預算告警</t>
  </si>
  <si>
    <t xml:space="preserve">CNA@cathaybk.com.tw
</t>
  </si>
  <si>
    <t>消金中台科</t>
  </si>
  <si>
    <t>中台內部整合管理系統</t>
  </si>
  <si>
    <t>mid-lx-ims-01-prod-aec180</t>
  </si>
  <si>
    <t>00592300</t>
  </si>
  <si>
    <t>黃柏彰</t>
  </si>
  <si>
    <t>Account：va_6a473e27231e4e41b0
Apikey：17e3470e-78ff-4847-b0f2-49caf44d73a7
TeamSn：9432
Subject：【GCP】【MID-LX-IMS-01】【中台內部整合管理系統】</t>
    <phoneticPr fontId="50" type="noConversion"/>
  </si>
  <si>
    <t>NT92227@cathaybk.com.tw;
wendy.chin@cathaybk.com.tw;
shasun@cathaybk.com.tw</t>
  </si>
  <si>
    <t>Louisz.Cheng@cathaybk.com.tw</t>
  </si>
  <si>
    <t>mid-lx-ims-01-ut-7d62f6</t>
  </si>
  <si>
    <t>00586596</t>
  </si>
  <si>
    <t>秦芝儀</t>
  </si>
  <si>
    <t>10801202503589</t>
  </si>
  <si>
    <t>NT92227@cathaybk.com.tw;
wendy.chin@cathaybk.com.tw;
shasun@cathaybk.com.tw</t>
    <phoneticPr fontId="50" type="noConversion"/>
  </si>
  <si>
    <t>mid-lx-ims-01-uat-6cdd69</t>
  </si>
  <si>
    <t>訊息整合平台</t>
  </si>
  <si>
    <t>mid-lx-mip-01-prod-0da981</t>
  </si>
  <si>
    <t>Account：va_dbc6114bf6e4422197
Apikey：9b6e6c5a-0f36-4418-a9ac-dc4af66d952c
TeamSn：5271
Subject：通路中台發展科</t>
  </si>
  <si>
    <t>MidMipAdmin@cathaybk.com.tw</t>
  </si>
  <si>
    <t>依據BU預估推播量</t>
  </si>
  <si>
    <t>mid-lx-mip-01-uat-674bba</t>
  </si>
  <si>
    <t>mid-lx-mip-01-ut-206073</t>
  </si>
  <si>
    <t>資訊策略發展部</t>
  </si>
  <si>
    <t xml:space="preserve"> Cloud SRE POC</t>
  </si>
  <si>
    <t>cloud-sre-poc-447001</t>
  </si>
  <si>
    <t>10801202502398</t>
    <phoneticPr fontId="50" type="noConversion"/>
  </si>
  <si>
    <t>網路身份識別系統（金融FIDO）</t>
  </si>
  <si>
    <t>otr-lx-fid-02-ut-77e7d5</t>
    <phoneticPr fontId="50" type="noConversion"/>
  </si>
  <si>
    <t>00592925</t>
  </si>
  <si>
    <t>許丞</t>
  </si>
  <si>
    <t>Account：va_fe4f582252a74a36bd
Subject：中台-運營發展科
TeamSn：7408
Apikey：2e689cc2-0d57-41cd-bb84-2549f03189cd</t>
  </si>
  <si>
    <t>HQ1080104@cathaybk.com.tw</t>
  </si>
  <si>
    <t>客戶標籤生成個人化文案系統</t>
    <phoneticPr fontId="50" type="noConversion"/>
  </si>
  <si>
    <t>00597593</t>
    <phoneticPr fontId="50" type="noConversion"/>
  </si>
  <si>
    <t>鄭興中</t>
    <phoneticPr fontId="50" type="noConversion"/>
  </si>
  <si>
    <t>連上程</t>
    <phoneticPr fontId="50" type="noConversion"/>
  </si>
  <si>
    <t>00103202502266</t>
    <phoneticPr fontId="50" type="noConversion"/>
  </si>
  <si>
    <t>Account：va_31fb2c4b44c5456dbd
Subject：【GCP】【svc-cp-gmc-01-ut】
TeamSn：10686
Apikey：15a75dfd-1e90-487c-b1b9-dcec4a6fc231</t>
    <phoneticPr fontId="50" type="noConversion"/>
  </si>
  <si>
    <t>資訊安全部</t>
  </si>
  <si>
    <t>入侵與攻擊模擬(BAS)演練</t>
  </si>
  <si>
    <t>gcp-cspr-4f230d</t>
  </si>
  <si>
    <t>PoC</t>
  </si>
  <si>
    <t>00597469</t>
  </si>
  <si>
    <t>黃家祥</t>
  </si>
  <si>
    <t>00080202501437</t>
  </si>
  <si>
    <t>Account：va_214e85fd838a490797
Subject：114年度入侵與攻擊模擬 (BAS)演練環境建置暨產品授權訂閱案POC作業 告警通知群
TeamSn：10879
Apikey：ac94c64b-779a-44c0-aec5-99f8461884ed</t>
  </si>
  <si>
    <t xml:space="preserve">charles.huang@cathaybk.com.tw;
smlee@cathaybk.com.tw;
BrianMa@cathaybk.com.tw;
jennyliu@cathaybk.com.tw;
watt.chen@cathaybk.com.tw
</t>
  </si>
  <si>
    <t>kuotung.tseng@cathaybk.com.tw</t>
  </si>
  <si>
    <t>越南雲端數據中台</t>
    <phoneticPr fontId="50" type="noConversion"/>
  </si>
  <si>
    <t>ovs-lx-vdo-01-poc-ut-75e2e6</t>
    <phoneticPr fontId="50" type="noConversion"/>
  </si>
  <si>
    <t>00590013</t>
  </si>
  <si>
    <t>陳冠廷</t>
  </si>
  <si>
    <t>楊士平</t>
  </si>
  <si>
    <t>00102202501208</t>
  </si>
  <si>
    <t>Account：va_b2c72a02b5f0421297
Subject：VDO_POC-銀行GCP預算Alert 群組
TeamSn：10890
Apikey：e498ea8a-7832-400a-8834-347973b131fb</t>
  </si>
  <si>
    <t>ovslxvndataop@cathaybk.com.tw
Howardwu@cathaybk.com.tw</t>
  </si>
  <si>
    <t>數位雲平台-共用元件應用服務</t>
  </si>
  <si>
    <t>mid-lx-dgt-02-ut-a21c40</t>
  </si>
  <si>
    <t>MID-LX-DGT-02</t>
  </si>
  <si>
    <t>00828827</t>
  </si>
  <si>
    <t>許富傑</t>
  </si>
  <si>
    <t>00103202600398</t>
  </si>
  <si>
    <t>Account:va_31fb2c4b44c5456dbd
Apikey:15a75dfd-1e90-487c-b1b9-dcec4a6fc231
TeamSn:10686
Subject:【GCP】【midlxdgt02】</t>
  </si>
  <si>
    <t>mid-lx-dgt-02-uat-cf0fac</t>
  </si>
  <si>
    <t>00828828</t>
  </si>
  <si>
    <t>00103202502804</t>
  </si>
  <si>
    <t>mid-lx-dgt-02-prod-f45b51</t>
  </si>
  <si>
    <t>00828829</t>
  </si>
  <si>
    <t>otr-cp-rms-01-uat-f40484</t>
  </si>
  <si>
    <t>OTR-CP-RMS-01</t>
  </si>
  <si>
    <t>Account：va_80b976a9746c44b6b4
Apikey：fcf2116d-22b1-4d14-aa48-172dfec0e118
TeamSn：8973
Subject：Cloud RMS</t>
  </si>
  <si>
    <t>行動應用開發科</t>
  </si>
  <si>
    <t>StoreAI</t>
  </si>
  <si>
    <t>mid-cp-gai-03-ut-50ee41</t>
  </si>
  <si>
    <t>MID-CP-GAI-03</t>
  </si>
  <si>
    <t>00597488</t>
  </si>
  <si>
    <t>蔡佳吟</t>
  </si>
  <si>
    <t>00015202506385</t>
  </si>
  <si>
    <t>Account：va_122a9c32d1b04d6cbd
Apikey：96dc068e-c405-4e4a-875c-4ca342959d58
TeamSn：10887
Subject：AI專案告警通知群</t>
  </si>
  <si>
    <t>NT97488@cathaybk.com.tw
NT86116@cathaybk.com.tw
NT85230@cathaybk.com.tw</t>
  </si>
  <si>
    <t>ebt-cp-lbc-02-uat-4b4e21</t>
  </si>
  <si>
    <t>盧奕丞</t>
    <phoneticPr fontId="50" type="noConversion"/>
  </si>
  <si>
    <t>00101202503389</t>
  </si>
  <si>
    <t xml:space="preserve">officialwebadm@cathaybk.com.tw
</t>
  </si>
  <si>
    <t>crd-nt-act-15-prod-35a9c5</t>
  </si>
  <si>
    <t>00011202501968</t>
  </si>
  <si>
    <t>gai-cp-ncb-01-prod-d8272f</t>
  </si>
  <si>
    <t>00105202503293</t>
  </si>
  <si>
    <t xml:space="preserve">Account：va_861d172b72e2489d84
Apikey：be277edf-9329-4a41-bf42-209f38cc63b3
TeamSn：11334
Subject：[PROD] GAI-CP-NCB-01 阿發2.0 Billing Alert </t>
  </si>
  <si>
    <t>Hadoop@cathaybk.com.tw
NT96515@cathaybk.com.tw
Jeremy.liu@cathaybk.com.tw</t>
  </si>
  <si>
    <t>GCP AI代理平台</t>
  </si>
  <si>
    <t>gai-cp-gah-01-ut-c25cda</t>
  </si>
  <si>
    <t>gai-cp-gah-01</t>
  </si>
  <si>
    <t>00591369</t>
  </si>
  <si>
    <t>張浩宸</t>
  </si>
  <si>
    <t>00105202502322</t>
  </si>
  <si>
    <t>Account：va_3d63b158df3b4f0995
Apikey：3d0f8c2f-0421-48fa-815c-df240ea78688
TeamSn：11202
Subject：AI Agent代理平台告警通知群</t>
  </si>
  <si>
    <t>branch0009607@cathaybk.com.tw</t>
  </si>
  <si>
    <t>otr-cp-rms-01-prod-e75771</t>
  </si>
  <si>
    <t>otr-cp-rms-01</t>
  </si>
  <si>
    <t>00015202602025</t>
  </si>
  <si>
    <t>00015202506920</t>
  </si>
  <si>
    <t>otr-lx-fid-02-uat-c05229</t>
  </si>
  <si>
    <t>ops-dev@cathaybk.com.tw
darren.tsou@cathaybk.com.tw</t>
  </si>
  <si>
    <t>數據架構科</t>
  </si>
  <si>
    <t>GAI雲端基礎建設平台</t>
  </si>
  <si>
    <t>gai-cp-ifa-01-ut-c1bdd9</t>
  </si>
  <si>
    <t>00105202601149</t>
  </si>
  <si>
    <t>Account：va_5407cb4c7e714664bb
Subject：GAI 基建平台Billing Alert (GAI-CP-IFA-01)
TeamSn：10607
Apikey：214866ff-aae2-4a55-867e-758673cc1276</t>
    <phoneticPr fontId="50" type="noConversion"/>
  </si>
  <si>
    <t>GAIA@cathaybk.com.tw
NT91893@cathaybk.com.tw</t>
  </si>
  <si>
    <t>護欄</t>
    <phoneticPr fontId="50" type="noConversion"/>
  </si>
  <si>
    <t xml:space="preserve">mid-lx-cbe-02-ut-1cbc28	</t>
  </si>
  <si>
    <t>00592227</t>
  </si>
  <si>
    <t>安緒益</t>
  </si>
  <si>
    <t>00022202500768</t>
  </si>
  <si>
    <t>Account：va_3cf4be50378f4003b7
Subject：CUBE team
TeamSn：705
Apikey：429c01e7-49aa-444f-b0b4-aebf300326eb</t>
  </si>
  <si>
    <t>MidAcoAdmin@cathaybk.com.tw
Louisz.Cheng@cathaybk.com.tw</t>
  </si>
  <si>
    <t>mid-lx-cbe-02-uat-60e75d</t>
  </si>
  <si>
    <t>00022202500774</t>
  </si>
  <si>
    <t>mid-lx-csd-01-uat-58d1cf</t>
  </si>
  <si>
    <t>00085202501823</t>
  </si>
  <si>
    <t>團隊帳號：va_16b2d748890d4b97a9
API_Key：c9048cd2-8df4-4388-ae2f-5da29d6d57bd
團隊編號：7696
團隊名稱：(AI類)_共通中台科『雲平台』運維服務監控通知</t>
  </si>
  <si>
    <t>CMPT@cathaybk.com.tw
Louisz.Cheng@cathaybk.com.tw</t>
  </si>
  <si>
    <t>mid-lx-cbe-02-prod-7ce272</t>
  </si>
  <si>
    <t>00022202501325</t>
  </si>
  <si>
    <t>數位AI後台</t>
  </si>
  <si>
    <t>com-lx-dab-01-ut-831dc4</t>
  </si>
  <si>
    <t>00598231</t>
  </si>
  <si>
    <t>吳信熾</t>
  </si>
  <si>
    <t>00103202600389</t>
  </si>
  <si>
    <t>Account：va_31fb2c4b44c5456dbd
Subject：【GCP】【comlxdab01-ut】【 com-lx-dab-01-ut】
TeamSn：10686
Apikey：15a75dfd-1e90-487c-b1b9-dcec4a6fc231</t>
  </si>
  <si>
    <t>crd-lx-acs-01-prod-f996b9</t>
  </si>
  <si>
    <t>00011202506149</t>
  </si>
  <si>
    <t>mid-cp-gai-03-uat-6aaa3e</t>
  </si>
  <si>
    <t>00101202504741</t>
  </si>
  <si>
    <t>NT97488@cathaybk.com.tw
NT86116@cathaybk.com.tw
NT87031@cathaybk.com.tw
NT85230@cathaybk.com.tw
NT90245@cathaybk.com.tw</t>
  </si>
  <si>
    <t>com-cp-api-01-uat-d40a37</t>
  </si>
  <si>
    <t>00015202601795</t>
  </si>
  <si>
    <t>gai-cp-ifa-01-uat-c4dfdc</t>
    <phoneticPr fontId="50" type="noConversion"/>
  </si>
  <si>
    <t>00105202500197</t>
    <phoneticPr fontId="50" type="noConversion"/>
  </si>
  <si>
    <t>GAIA@cathaybk.com.tw
NT91893@cathaybk.com.tw</t>
    <phoneticPr fontId="50" type="noConversion"/>
  </si>
  <si>
    <t>GAI雲端基礎建設平台</t>
    <phoneticPr fontId="50" type="noConversion"/>
  </si>
  <si>
    <t>gai-cp-ifa-01-prod-f7cb7d</t>
    <phoneticPr fontId="50" type="noConversion"/>
  </si>
  <si>
    <t>00105202503329</t>
  </si>
  <si>
    <t>個人化經營系統</t>
  </si>
  <si>
    <t>svc-lx-bts-01-ut-959faa</t>
  </si>
  <si>
    <t>00597593</t>
  </si>
  <si>
    <t>鄭興中</t>
  </si>
  <si>
    <t>00103202503343</t>
  </si>
  <si>
    <t>Account：va_31fb2c4b44c5456dbd
Subject：【GCP】【svclxbts01-uat】【 svc-lx-bts-01-uat】
TeamSn：10686
Apikey：15a75dfd-1e90-487c-b1b9-dcec4a6fc231</t>
  </si>
  <si>
    <t>svc-lx-bts-01-uat-e57d2d</t>
  </si>
  <si>
    <t>00103202503614</t>
  </si>
  <si>
    <t>fnm-cp-rcp-01-prod-26c371</t>
  </si>
  <si>
    <t>越南債權管理系統</t>
  </si>
  <si>
    <t>ovs-lx-vdm-01-ut-471e9a</t>
  </si>
  <si>
    <t xml:space="preserve">Account：va_965d71a9198a414095
Apikey：e1c89d59-660b-40c2-8754-1d4072374c8f
TeamSn：10542
Subject：【憑證/雲端預算預警】OVS-LX-VDM-01 </t>
  </si>
  <si>
    <t>分行平台科</t>
  </si>
  <si>
    <t>分行整合平台 - 越南</t>
  </si>
  <si>
    <t>brn-cp-vnm-01-ut-e465b5</t>
  </si>
  <si>
    <t>00595568</t>
  </si>
  <si>
    <t>陳詩承</t>
  </si>
  <si>
    <t>00019202500579</t>
  </si>
  <si>
    <t>Account：va_0792f144327b4892b9
Apikey：72aeff12-cc24-4e3a-95b1-cd5042107b95
TeamSn：10776
Subject：[通知] 分行整合平台_越南</t>
  </si>
  <si>
    <t>BIP_Team@cathaybk.com.tw</t>
  </si>
  <si>
    <t>越南境內轉帳及匯款系統(NAPAS)</t>
  </si>
  <si>
    <t>ovs-lx-vis-01-prod-8d809f</t>
  </si>
  <si>
    <t>00019202600039</t>
  </si>
  <si>
    <t>Account：va_345cedb955974e3da5
Apikey：0f574ad7-3688-4a31-aeb4-ef6d54ba9a55
TeamSn：8008
Subject：VNRB | VIS Maintainers</t>
  </si>
  <si>
    <t>ovs-lx-vis-01-ut-d4030c</t>
  </si>
  <si>
    <t>60400202500335</t>
  </si>
  <si>
    <t>ovs-lx-vis-01-uat-2b964c</t>
  </si>
  <si>
    <t>60400202501614</t>
  </si>
  <si>
    <t>數據架構平台科</t>
  </si>
  <si>
    <t>VN Official Website</t>
  </si>
  <si>
    <t>ovs-cp-vow-01-ut-05427f</t>
  </si>
  <si>
    <t>00599089</t>
  </si>
  <si>
    <t>陳博堯</t>
  </si>
  <si>
    <t>00085202600774</t>
  </si>
  <si>
    <t>Account：va_dcc9217a0a4d4fc589
Apikey：447d5b99-989d-419d-880b-bb3b4712493f
TeamSn：11058
Subject：越南官網 VOW 成本及錯誤告警群組</t>
  </si>
  <si>
    <t>前端發展科</t>
  </si>
  <si>
    <t>創新客服系統</t>
  </si>
  <si>
    <t>ebt-cp-ics-01-ut-f2ed3d</t>
  </si>
  <si>
    <t>00589966</t>
  </si>
  <si>
    <t>張育鉞</t>
  </si>
  <si>
    <t>Account：va_a5ccb6d723be4ce3b2
Apikey：c6e98e36-152f-43f2-b0b4-9fee6837205f
TeamSn：10801
Subject：CUB-前端發展科 資訊通告</t>
  </si>
  <si>
    <t xml:space="preserve">cubfe@cathaybk.com.tw
</t>
  </si>
  <si>
    <t>ebt-cp-ics-01-uat-0d3375</t>
  </si>
  <si>
    <t>ebt-cp-ics-01-prod-af66f6</t>
  </si>
  <si>
    <t>com-lx-dab-01-uat-f3913a</t>
  </si>
  <si>
    <t>00103202600850</t>
  </si>
  <si>
    <t>Account：va_31fb2c4b44c5456dbd
Apikey：15a75dfd-1e90-487c-b1b9-dcec4a6fc231
TeamSn：10686
Subject：【GCP】【comlxdab01-uat】【 com-lx-dab-01-uat】</t>
  </si>
  <si>
    <t>gai-cp-isd-01-prod-7217b2</t>
  </si>
  <si>
    <t>00085202501804</t>
  </si>
  <si>
    <t xml:space="preserve">GAICPISD_ADM@cathaybk.com.tw
</t>
  </si>
  <si>
    <t>ebt-cp-lbc-02-prod-71e71b</t>
  </si>
  <si>
    <t>00546808</t>
  </si>
  <si>
    <t>00101202601053</t>
  </si>
  <si>
    <t>Account：va_e6eb9a8d26ee420caf
Apikey：8937a821-10e2-484f-a300-871eda36554d
TeamSn：5256
Subject：個人化科技科</t>
  </si>
  <si>
    <t>ovs-lx-vdm-01-uat-b2d215</t>
  </si>
  <si>
    <t>60400202600222</t>
  </si>
  <si>
    <t>架構師 / SRE 功能驗測環境</t>
  </si>
  <si>
    <t>otr-cs-sre-01-ut-d2c0b5</t>
  </si>
  <si>
    <t>00596179</t>
  </si>
  <si>
    <t>00015202600678</t>
  </si>
  <si>
    <t>Account：va_c6653f6b59254d75af
Apikey：80cb7e05-3b9b-4ae1-8a14-d707b4062bd9
TeamSn：7612
Subject：雲端應用發展科</t>
  </si>
  <si>
    <t>otr-cs-sre-02-ut-6b598d</t>
  </si>
  <si>
    <t>Dataplex POC</t>
  </si>
  <si>
    <t>cube-dataplex-poc</t>
  </si>
  <si>
    <t>00598275</t>
  </si>
  <si>
    <t>羅靖婷</t>
  </si>
  <si>
    <t>00103202503475</t>
  </si>
  <si>
    <t>AEM雲端內容管理系統</t>
  </si>
  <si>
    <t>svc-cp-aem-01-ut-89d63e</t>
  </si>
  <si>
    <t>00583185</t>
  </si>
  <si>
    <t>周紹文</t>
  </si>
  <si>
    <t>00101202600659</t>
  </si>
  <si>
    <t>gai-cp-gah-01-uat-b759d5</t>
  </si>
  <si>
    <t>劉子齊</t>
  </si>
  <si>
    <t>00105202600536</t>
  </si>
  <si>
    <t>branch0009607@cathaybk.com.tw
Jeremy.liu@cathaybk.com.tw</t>
  </si>
  <si>
    <t>com-lx-dab-01-prod-c53d5f</t>
  </si>
  <si>
    <t>00103202601125</t>
  </si>
  <si>
    <t>ovs-cp-vow-01-uat-d676dd</t>
  </si>
  <si>
    <t>10801202600196</t>
  </si>
  <si>
    <t>ed888@cathaybk.com.tw</t>
  </si>
  <si>
    <t>mid-cp-gai-03-prod-06b73d</t>
  </si>
  <si>
    <t>00101202600825</t>
  </si>
  <si>
    <t>otr-lx-fid-02-prod-440f39</t>
  </si>
  <si>
    <t xml:space="preserve">ops-dev@cathaybk.com.tw
</t>
  </si>
  <si>
    <t>智能服務評估實驗專案</t>
  </si>
  <si>
    <t>非AP</t>
  </si>
  <si>
    <t>00551678</t>
  </si>
  <si>
    <t>陳銘池</t>
  </si>
  <si>
    <t>阿發業務場景實驗</t>
  </si>
  <si>
    <t>afa-lab-poc-496905</t>
  </si>
  <si>
    <t xml:space="preserve">GCP </t>
  </si>
  <si>
    <t>00594103</t>
  </si>
  <si>
    <t>張哲倫</t>
  </si>
  <si>
    <t>00103202601283</t>
  </si>
  <si>
    <t>智能金服科</t>
  </si>
  <si>
    <t>智能語音應用系統</t>
  </si>
  <si>
    <t>svc-lx-iqi-01-ut-dea55c</t>
  </si>
  <si>
    <t>00589934</t>
  </si>
  <si>
    <t>李幸容</t>
  </si>
  <si>
    <t>00082202601390</t>
  </si>
  <si>
    <t>Account：va_119dabd50a3d4226b1
Subject：[憑證預警] 智能語音系統
TeamSn：4959
Apikey：58a4e165-ba69-41cd-bad0-ffe064b294c8</t>
  </si>
  <si>
    <t>IQI@cathaybk.com.tw</t>
  </si>
  <si>
    <t>部門</t>
  </si>
  <si>
    <t>對應副總</t>
  </si>
  <si>
    <t>Mail</t>
  </si>
  <si>
    <t>部門名稱</t>
  </si>
  <si>
    <t>王堯德</t>
  </si>
  <si>
    <t>國際業務發展部</t>
  </si>
  <si>
    <t>陳衍文</t>
  </si>
  <si>
    <t>陳冠學</t>
  </si>
  <si>
    <t>劉浩翔</t>
  </si>
  <si>
    <t>數位資訊部</t>
  </si>
  <si>
    <t>監理資訊部</t>
  </si>
  <si>
    <t>王富民</t>
  </si>
  <si>
    <t>杜昶穎</t>
  </si>
  <si>
    <t>核心數據資訊部</t>
  </si>
  <si>
    <t>業務平台部</t>
  </si>
  <si>
    <t>曹昌禮</t>
  </si>
  <si>
    <t>苗華本</t>
  </si>
  <si>
    <t>數位金融科技發展部</t>
  </si>
  <si>
    <t>數據生態營運部</t>
  </si>
  <si>
    <t>數據暨人工智慧</t>
  </si>
  <si>
    <t>專案名稱</t>
    <phoneticPr fontId="50" type="noConversion"/>
  </si>
  <si>
    <t>專案編號</t>
    <phoneticPr fontId="50" type="noConversion"/>
  </si>
  <si>
    <t>雲平台</t>
  </si>
  <si>
    <t>年度預算預估
（2025/01-2025/12）</t>
    <phoneticPr fontId="50" type="noConversion"/>
  </si>
  <si>
    <r>
      <rPr>
        <b/>
        <sz val="12"/>
        <color rgb="FF3B3838"/>
        <rFont val="微軟正黑體"/>
        <family val="2"/>
        <charset val="136"/>
      </rPr>
      <t xml:space="preserve">月均預算預估
</t>
    </r>
    <r>
      <rPr>
        <sz val="11"/>
        <color rgb="FF3B3838"/>
        <rFont val="微軟正黑體"/>
        <family val="2"/>
        <charset val="136"/>
      </rPr>
      <t>將用來設定專案費用告警基準值</t>
    </r>
  </si>
  <si>
    <t xml:space="preserve">通知 CT 群組 Token
（通知要包含 AP owner /AP 代理人 /科長）
</t>
  </si>
  <si>
    <r>
      <rPr>
        <b/>
        <sz val="12"/>
        <color rgb="FF3B3838"/>
        <rFont val="微軟正黑體"/>
        <family val="2"/>
        <charset val="136"/>
      </rPr>
      <t xml:space="preserve">通知 E_mail 群組
</t>
    </r>
    <r>
      <rPr>
        <sz val="11"/>
        <color rgb="FF3B3838"/>
        <rFont val="微軟正黑體"/>
        <family val="2"/>
        <charset val="136"/>
      </rPr>
      <t>專案費用告警通知對象</t>
    </r>
  </si>
  <si>
    <t>備註</t>
    <phoneticPr fontId="50" type="noConversion"/>
  </si>
  <si>
    <t>中台發展部</t>
  </si>
  <si>
    <t>Account：va_6a473e27231e4e41b0
Apikey：17e3470e-78ff-4847-b0f2-49caf44d73a7
TeamSn：9432
Subject：【GCP】【MID-LX-IMS-01】【中台內部整合管理系統】</t>
  </si>
  <si>
    <t>NT92227@cathaybk.com.tw
wendy.chin@cathaybk.com.tw
shasun@cathaybk.com.tw</t>
  </si>
  <si>
    <r>
      <t xml:space="preserve">月均預算預估
</t>
    </r>
    <r>
      <rPr>
        <sz val="11"/>
        <color rgb="FF3B3838"/>
        <rFont val="微軟正黑體"/>
        <family val="2"/>
        <charset val="136"/>
      </rPr>
      <t>將用來設定專案費用告警基準值</t>
    </r>
    <phoneticPr fontId="50" type="noConversion"/>
  </si>
  <si>
    <t>通知 CT 群組 Token
（通知要包含 AP owner /AP 代理人 /科長）
"Account：團隊帳號
Apikey：團隊API KEY
TeamSn：團隊編號
Subject：團隊名稱"</t>
    <phoneticPr fontId="11" type="noConversion"/>
  </si>
  <si>
    <t>Account: va_727fb8a4d0e04fb0a1
API_Key: 9727b60d-06e8-4c38-ab45-23b1f319fbf4
TeanSn: 5232
Subject: 科發_DevOps_Team</t>
  </si>
  <si>
    <t>otr-lx-apim-prod</t>
  </si>
  <si>
    <t>ITDevOps@cathaybk.com.tw</t>
  </si>
  <si>
    <t>雲原生共用服務平台</t>
    <phoneticPr fontId="11" type="noConversion"/>
  </si>
  <si>
    <t>mid-cp-cna-01-ut-c1e99c</t>
    <phoneticPr fontId="11" type="noConversion"/>
  </si>
  <si>
    <t>CNA@cathaybk.com.tw</t>
  </si>
  <si>
    <r>
      <t xml:space="preserve">月均預算預估
</t>
    </r>
    <r>
      <rPr>
        <sz val="12"/>
        <color rgb="FF3B3838"/>
        <rFont val="微軟正黑體"/>
        <family val="2"/>
        <charset val="136"/>
      </rPr>
      <t>將用來設定專案費用告警基準值</t>
    </r>
    <phoneticPr fontId="50" type="noConversion"/>
  </si>
  <si>
    <t xml:space="preserve">通知 CT 群組 Token
（通知要包含 AP owner /AP 代理人 /科長）
"Account：團隊帳號
Apikey：團隊API KEY
TeamSn：團隊編號
Subject：團隊名稱"
</t>
    <phoneticPr fontId="11" type="noConversion"/>
  </si>
  <si>
    <r>
      <t xml:space="preserve">通知 E_mail 群組
</t>
    </r>
    <r>
      <rPr>
        <sz val="12"/>
        <color rgb="FF3B3838"/>
        <rFont val="微軟正黑體"/>
        <family val="2"/>
        <charset val="136"/>
      </rPr>
      <t>專案費用告警通知對象</t>
    </r>
  </si>
  <si>
    <t>Account：va_12aca3eb8b51446088
Apikey：6ce77fb3-3e5f-42d4-a18e-d305f668c54a
TeamSn：7132
Subject：EWS系統監控通知</t>
    <phoneticPr fontId="11" type="noConversion"/>
  </si>
  <si>
    <t>NT44981@cathaybk.com.tw,
NT82770@cathaybk.com.tw,
NT91579@cathaybk.com.tw</t>
  </si>
  <si>
    <t>Account：va_cc5f939cd8be49c482
Apikey：11c20e16-9110-4a98-923d-62799b9e0b13
TeamSn：4356
Subject：EPOS 雲端專案費用告警通知</t>
  </si>
  <si>
    <t>Account：va_cc5f939cd8be49c482
Apikey：11c20e16-9110-4a98-923d-62799b9e0b13
TeamSn：4357
Subject：EPOS 雲端專案費用告警通知</t>
  </si>
  <si>
    <r>
      <t>Account</t>
    </r>
    <r>
      <rPr>
        <sz val="12"/>
        <color rgb="FF000000"/>
        <rFont val="微軟正黑體"/>
        <family val="2"/>
        <charset val="136"/>
      </rPr>
      <t>：</t>
    </r>
    <r>
      <rPr>
        <sz val="12"/>
        <color rgb="FF000000"/>
        <rFont val="Arial"/>
        <family val="2"/>
        <scheme val="minor"/>
      </rPr>
      <t>va_16e3e2bffbd54741bc
Apikey</t>
    </r>
    <r>
      <rPr>
        <sz val="12"/>
        <color rgb="FF000000"/>
        <rFont val="微軟正黑體"/>
        <family val="2"/>
        <charset val="136"/>
      </rPr>
      <t>：</t>
    </r>
    <r>
      <rPr>
        <sz val="12"/>
        <color rgb="FF000000"/>
        <rFont val="Arial"/>
        <family val="2"/>
        <scheme val="minor"/>
      </rPr>
      <t>a60ecf7f-a90f-4158-9caa-a45630333c6f
TeamSn</t>
    </r>
    <r>
      <rPr>
        <sz val="12"/>
        <color rgb="FF000000"/>
        <rFont val="微軟正黑體"/>
        <family val="2"/>
        <charset val="136"/>
      </rPr>
      <t>：</t>
    </r>
    <r>
      <rPr>
        <sz val="12"/>
        <color rgb="FF000000"/>
        <rFont val="Arial"/>
        <family val="2"/>
        <scheme val="minor"/>
      </rPr>
      <t>9410
Subject</t>
    </r>
    <r>
      <rPr>
        <sz val="12"/>
        <color rgb="FF000000"/>
        <rFont val="微軟正黑體"/>
        <family val="2"/>
        <charset val="136"/>
      </rPr>
      <t>：</t>
    </r>
    <r>
      <rPr>
        <sz val="12"/>
        <color rgb="FF000000"/>
        <rFont val="Arial"/>
        <family val="2"/>
        <scheme val="minor"/>
      </rPr>
      <t>R</t>
    </r>
    <r>
      <rPr>
        <sz val="12"/>
        <color rgb="FF000000"/>
        <rFont val="微軟正黑體"/>
        <family val="2"/>
        <charset val="136"/>
      </rPr>
      <t>平方系統監控通知</t>
    </r>
    <phoneticPr fontId="11" type="noConversion"/>
  </si>
  <si>
    <r>
      <t>Account</t>
    </r>
    <r>
      <rPr>
        <sz val="12"/>
        <color rgb="FF000000"/>
        <rFont val="微軟正黑體"/>
        <family val="2"/>
        <charset val="136"/>
      </rPr>
      <t>：</t>
    </r>
    <r>
      <rPr>
        <sz val="12"/>
        <color rgb="FF000000"/>
        <rFont val="Arial"/>
        <family val="2"/>
        <scheme val="minor"/>
      </rPr>
      <t>va_16e3e2bffbd54741bc
Apikey</t>
    </r>
    <r>
      <rPr>
        <sz val="12"/>
        <color rgb="FF000000"/>
        <rFont val="微軟正黑體"/>
        <family val="2"/>
        <charset val="136"/>
      </rPr>
      <t>：</t>
    </r>
    <r>
      <rPr>
        <sz val="12"/>
        <color rgb="FF000000"/>
        <rFont val="Arial"/>
        <family val="2"/>
        <scheme val="minor"/>
      </rPr>
      <t>a60ecf7f-a90f-4158-9caa-a45630333c6f
TeamSn</t>
    </r>
    <r>
      <rPr>
        <sz val="12"/>
        <color rgb="FF000000"/>
        <rFont val="微軟正黑體"/>
        <family val="2"/>
        <charset val="136"/>
      </rPr>
      <t>：</t>
    </r>
    <r>
      <rPr>
        <sz val="12"/>
        <color rgb="FF000000"/>
        <rFont val="Arial"/>
        <family val="2"/>
        <scheme val="minor"/>
      </rPr>
      <t>9411
Subject：R平方系統監控通知</t>
    </r>
    <r>
      <rPr>
        <sz val="12"/>
        <color rgb="FF000000"/>
        <rFont val="微軟正黑體"/>
        <family val="2"/>
        <charset val="136"/>
      </rPr>
      <t/>
    </r>
  </si>
  <si>
    <t>Account：va_d39b4ad9260e4905bc
Apikey：4410f3ab-5a0c-40ed-a64a-921159d7a368
TeamSn：8737
Subject：實體收單小組</t>
  </si>
  <si>
    <t>Account：va_d39b4ad9260e4905bc
Apikey：4410f3ab-5a0c-40ed-a64a-921159d7a368
TeamSn：8738
Subject：實體收單小組</t>
  </si>
  <si>
    <t>票證電子錢包管理系統</t>
  </si>
  <si>
    <t>IssueTeam2@cathaybk.com.tw</t>
  </si>
  <si>
    <t>Account：va_4448fd74f1ff4073b3
Apikey：d3eee21c-b953-4bbf-acf2-b3ac58321a9b
TeamSn：4450
Subject：信用卡外圍發卡監控二組</t>
  </si>
  <si>
    <t>雲端影像辨識平台</t>
  </si>
  <si>
    <t>Account：va_e60ce81eebf24b2599
API_Key：506283e4-64dc-4af0-b493-28863d29084f
TeamSn：9405
Subject：雲端影像辨識-專案費用告警通知</t>
    <phoneticPr fontId="11" type="noConversion"/>
  </si>
  <si>
    <t>Account：va_a629f385ea6c4ed8b1
Apikey：a17bc86b-1848-4271-aeea-9c6ee692db50
TeamSn：4505
Subject：信用卡外圍發卡監控一組</t>
    <phoneticPr fontId="11" type="noConversion"/>
  </si>
  <si>
    <r>
      <t>信用卡主機輕量化</t>
    </r>
    <r>
      <rPr>
        <b/>
        <sz val="12"/>
        <color theme="1"/>
        <rFont val="Arial"/>
        <family val="2"/>
        <scheme val="minor"/>
      </rPr>
      <t>-</t>
    </r>
    <r>
      <rPr>
        <b/>
        <sz val="12"/>
        <color theme="1"/>
        <rFont val="Arial"/>
        <family val="2"/>
        <charset val="136"/>
        <scheme val="minor"/>
      </rPr>
      <t>授權系統建置</t>
    </r>
    <r>
      <rPr>
        <b/>
        <sz val="12"/>
        <color theme="1"/>
        <rFont val="Arial"/>
        <family val="2"/>
        <scheme val="minor"/>
      </rPr>
      <t>PoC</t>
    </r>
    <phoneticPr fontId="11" type="noConversion"/>
  </si>
  <si>
    <r>
      <t>Account</t>
    </r>
    <r>
      <rPr>
        <sz val="12"/>
        <color rgb="FF000000"/>
        <rFont val="微軟正黑體"/>
        <family val="2"/>
        <charset val="136"/>
      </rPr>
      <t>：</t>
    </r>
    <r>
      <rPr>
        <sz val="12"/>
        <color rgb="FF000000"/>
        <rFont val="Arial"/>
        <family val="2"/>
        <scheme val="minor"/>
      </rPr>
      <t>va_588c5cbe368440d9a5
Apikey</t>
    </r>
    <r>
      <rPr>
        <sz val="12"/>
        <color rgb="FF000000"/>
        <rFont val="微軟正黑體"/>
        <family val="2"/>
        <charset val="136"/>
      </rPr>
      <t>：</t>
    </r>
    <r>
      <rPr>
        <sz val="12"/>
        <color rgb="FF000000"/>
        <rFont val="Arial"/>
        <family val="2"/>
        <scheme val="minor"/>
      </rPr>
      <t>dad38680-0ff3-4870-973b-20e27a5f13ec
TeamSn</t>
    </r>
    <r>
      <rPr>
        <sz val="12"/>
        <color rgb="FF000000"/>
        <rFont val="微軟正黑體"/>
        <family val="2"/>
        <charset val="136"/>
      </rPr>
      <t>：</t>
    </r>
    <r>
      <rPr>
        <sz val="12"/>
        <color rgb="FF000000"/>
        <rFont val="Arial"/>
        <family val="2"/>
        <scheme val="minor"/>
      </rPr>
      <t>4289
Subject</t>
    </r>
    <r>
      <rPr>
        <sz val="12"/>
        <color rgb="FF000000"/>
        <rFont val="微軟正黑體"/>
        <family val="2"/>
        <charset val="136"/>
      </rPr>
      <t>：信用卡主機輕量化專案費用告警通知</t>
    </r>
    <r>
      <rPr>
        <sz val="12"/>
        <color rgb="FF000000"/>
        <rFont val="Arial"/>
        <family val="2"/>
        <scheme val="minor"/>
      </rPr>
      <t xml:space="preserve"> </t>
    </r>
    <phoneticPr fontId="11" type="noConversion"/>
  </si>
  <si>
    <t>IssueTeam3@cathaybk.com.tw</t>
    <phoneticPr fontId="11" type="noConversion"/>
  </si>
  <si>
    <t>AWS</t>
  </si>
  <si>
    <t>crd-lx-acs-01-ut</t>
  </si>
  <si>
    <t>crd-lx-acs-01-uat</t>
  </si>
  <si>
    <t>通知 CT 群組 Token
（通知要包含 AP owner /AP 代理人 /科長）
"Account：團隊帳號
Apikey：團隊API KEY
TeamSn：團隊編號
Subject：團隊名稱"</t>
  </si>
  <si>
    <r>
      <t xml:space="preserve">通知 E_mail 群組
</t>
    </r>
    <r>
      <rPr>
        <sz val="11"/>
        <color rgb="FF3B3838"/>
        <rFont val="微軟正黑體"/>
        <family val="2"/>
        <charset val="136"/>
      </rPr>
      <t>專案費用告警通知對象</t>
    </r>
    <phoneticPr fontId="50" type="noConversion"/>
  </si>
  <si>
    <t>lon-cp-esg-01-prod-0021a4</t>
  </si>
  <si>
    <t>團隊帳號：va_780e789d487b4f3ba5
API_Key：
59d9e34a-c967-499b-9e5a-ae1ce11483b3
團隊編號：5710
團隊名稱：核心中台 - 資訊服務平台維運小組</t>
  </si>
  <si>
    <t>ED75@cathaybk.com.tw
CMPT@cathaybk.com.tw</t>
  </si>
  <si>
    <t xml:space="preserve">通知 CT 群組 Token
（通知要包含 AP owner /AP 代理人 /科長）
"Account：團隊帳號
Apikey：團隊API KEY
TeamSn：團隊編號
Subject：團隊名稱"
</t>
  </si>
  <si>
    <t>Account：
va_1304d18c25864e828d
Apikey：587d3917-5216-4da5-aad4-14798c6e4214
TeamSn：7984
Subject：VNRB | VIB Maintainers</t>
  </si>
  <si>
    <t>Account：
va_34f4729e2a0148e09a
Apikey：991f7186-4799-4dbd-8734-09575e60d369
TeamSn：8009
Subject：VNRB | VBS Maintainers</t>
  </si>
  <si>
    <t>Account：
va_5788f1d9cac045999f
Apikey：2659c9d7-a39c-4441-ae34-453219ca348b
TeamSn：7752
Subject：VNRB | HES Maintainers</t>
  </si>
  <si>
    <t>Account：
va_5788f1d9cac045999f
Apikey：2659c9d7-a39c-4441-ae34-453219ca348b
TeamSn：7980
Subject：VNRB | HES Maintainers</t>
  </si>
  <si>
    <t>國際消金發展部</t>
  </si>
  <si>
    <r>
      <rPr>
        <u/>
        <sz val="12"/>
        <color rgb="FF0563C1"/>
        <rFont val="Arial"/>
        <family val="2"/>
        <scheme val="minor"/>
      </rPr>
      <t xml:space="preserve">SEALinkservice@cathaybk.com.tw 
</t>
    </r>
    <r>
      <rPr>
        <sz val="12"/>
        <color rgb="FF000000"/>
        <rFont val="Arial"/>
        <family val="2"/>
        <scheme val="minor"/>
      </rPr>
      <t xml:space="preserve">(包含APID Owner, AP backup, PM,科長) </t>
    </r>
  </si>
  <si>
    <t>NT49028@cathaybk.com.tw;NT95756@cathaybk.com.tw;NT92836@cathaybk.com.tw;NT92015@cathaybk.com.tw;veison.wang@cathaybk.com.tw;NT95867@cathaybk.com.tw</t>
  </si>
  <si>
    <t>NT30593@cathaybk.com.tw;
NT89412@cathaybk.com.tw;
unachan@cathaybk.com.tw;
NT98894@cathaybk.com.tw;
NT98970@cathaybk.com.tw</t>
  </si>
  <si>
    <t>5-6月後預計新增6台notebook instance 每月費用上限約為1600元</t>
  </si>
  <si>
    <t>ovs-lx-vdo-01-ut-6869fc</t>
  </si>
  <si>
    <t>ovs-lx-vdo-01-uat-d545f3</t>
  </si>
  <si>
    <t>ovs-lx-vdo-01-prod-d27767</t>
  </si>
  <si>
    <t>ovs-nt-www-01-uat-106b6a</t>
  </si>
  <si>
    <t>ovs-nt-www-01-prod-a6121c</t>
  </si>
  <si>
    <t>Account：團隊帳號
Apikey：團隊API KEY
TeamSn：團隊編號
Subject：團隊名稱</t>
  </si>
  <si>
    <t>NT96520@cathaybk.com.tw;NT95733@cathaybk.com.tw</t>
  </si>
  <si>
    <t>NT83183@cathaybk.com.tw
Marklu@cathaybk.com.tw</t>
  </si>
  <si>
    <t>bill2004@cathaybk.com.tw
garywu@cathaybk.com.tw
chengnan@cathaybk.com.tw</t>
  </si>
  <si>
    <t>otr-nt-pim-01-prod-7333cd</t>
  </si>
  <si>
    <t>年度預算預估
（2025/01-2025/12）</t>
  </si>
  <si>
    <t>資訊架構部</t>
    <phoneticPr fontId="50" type="noConversion"/>
  </si>
  <si>
    <t>dw-adfs-lab</t>
    <phoneticPr fontId="50" type="noConversion"/>
  </si>
  <si>
    <t>Account：va_7bfb602d86ea4be3b5
Apikey：66ef36ef-4503-4ab0-9b40-117d00c666b9
TeamSn：9403
Subject：
UXD Portal 預算-通知群組</t>
  </si>
  <si>
    <t>此案2025預計增加一個站台，以及一個既有站台的改版，可能導致使用費用上升，因此提高2025年度每月的月均估算。</t>
  </si>
  <si>
    <t>gai-cp-isd-01-ut-da8e15</t>
  </si>
  <si>
    <t>Account：va_047af33832d64556af
Apikey：2135659e-bf31-4b42-8602-ac7d2d66197a
TeamSn：9044
Subject：
[憑證預警] 自動偽冒爬網系統_維運團隊</t>
  </si>
  <si>
    <t>有申請要下線了</t>
  </si>
  <si>
    <t>dgt_netap@cathaybk.com.tw;dgt_bop_calandar@cathaybk.com.tw</t>
  </si>
  <si>
    <t>已請教雲端治理規劃科余軒誼LAB可留空不寫</t>
  </si>
  <si>
    <t>同左</t>
  </si>
  <si>
    <t>外部卡友消費分析POC</t>
  </si>
  <si>
    <t>(廠商支援美金10000)</t>
  </si>
  <si>
    <t>阿發2.0</t>
  </si>
  <si>
    <t>預計6月開始建置</t>
  </si>
  <si>
    <t>官網AI Search</t>
  </si>
  <si>
    <t>預計7月開始建置</t>
  </si>
  <si>
    <t>CUB-數位銀行科技部個人化科技科 &lt;ed56@cathaybk.com.tw&gt;</t>
  </si>
  <si>
    <t>svc-nt-cms-01-uat-cc2adb</t>
  </si>
  <si>
    <r>
      <rPr>
        <b/>
        <sz val="12"/>
        <color rgb="FF000000"/>
        <rFont val="Arial"/>
        <family val="2"/>
        <scheme val="minor"/>
      </rPr>
      <t>LINE 企業行銷</t>
    </r>
    <r>
      <rPr>
        <b/>
        <sz val="12"/>
        <color rgb="FFFF0000"/>
        <rFont val="Arial"/>
        <family val="2"/>
        <scheme val="minor"/>
      </rPr>
      <t>平台</t>
    </r>
  </si>
  <si>
    <t>mid-nt-stk-01-prod-9363ef</t>
  </si>
  <si>
    <t>GA4 分行APP瀏覽行為分析</t>
  </si>
  <si>
    <t>jessie.lin@cathaybk.com.tw, nt91447@cathaybk.com.tw, nt90999@cathaybk.com.tw, nt92861@cathaybk.com.tw</t>
  </si>
  <si>
    <t>部門</t>
    <phoneticPr fontId="66" type="noConversion"/>
  </si>
  <si>
    <t>專案名稱</t>
    <phoneticPr fontId="66" type="noConversion"/>
  </si>
  <si>
    <t>專案編號</t>
    <phoneticPr fontId="66" type="noConversion"/>
  </si>
  <si>
    <t>年度預算預估
（2025/01-2025/12）</t>
    <phoneticPr fontId="66" type="noConversion"/>
  </si>
  <si>
    <r>
      <t xml:space="preserve">月均預算預估
</t>
    </r>
    <r>
      <rPr>
        <sz val="11"/>
        <color rgb="FF3B3838"/>
        <rFont val="微軟正黑體"/>
        <family val="2"/>
        <charset val="136"/>
      </rPr>
      <t>將用來設定專案費用告警基準值</t>
    </r>
  </si>
  <si>
    <r>
      <t xml:space="preserve">通知 E_mail 群組
</t>
    </r>
    <r>
      <rPr>
        <sz val="11"/>
        <color rgb="FF3B3838"/>
        <rFont val="微軟正黑體"/>
        <family val="2"/>
        <charset val="136"/>
      </rPr>
      <t>專案費用告警通知對象</t>
    </r>
  </si>
  <si>
    <t>備註</t>
    <phoneticPr fontId="66" type="noConversion"/>
  </si>
  <si>
    <t xml:space="preserve">Action ID
</t>
  </si>
  <si>
    <t>Project</t>
    <phoneticPr fontId="11" type="noConversion"/>
  </si>
  <si>
    <t xml:space="preserve">Title
</t>
  </si>
  <si>
    <t xml:space="preserve">Description
</t>
  </si>
  <si>
    <t>Status</t>
  </si>
  <si>
    <t xml:space="preserve">Priority
</t>
  </si>
  <si>
    <t>Urgency</t>
  </si>
  <si>
    <t>Owner</t>
  </si>
  <si>
    <t xml:space="preserve">Create Date
</t>
  </si>
  <si>
    <t>Target Date</t>
  </si>
  <si>
    <t>Closed Date</t>
    <phoneticPr fontId="11" type="noConversion"/>
  </si>
  <si>
    <t xml:space="preserve">Comments (Most Current Comment at the Top)
</t>
  </si>
  <si>
    <t>Action001</t>
  </si>
  <si>
    <t>官網線上櫃檯</t>
    <phoneticPr fontId="11" type="noConversion"/>
  </si>
  <si>
    <t>Active</t>
  </si>
  <si>
    <t>Critical</t>
  </si>
  <si>
    <t>Action002</t>
  </si>
  <si>
    <t>Critical</t>
    <phoneticPr fontId="11" type="noConversion"/>
  </si>
  <si>
    <t>High</t>
  </si>
  <si>
    <t>Action003</t>
  </si>
  <si>
    <t>Action004</t>
  </si>
  <si>
    <t>Action005</t>
  </si>
  <si>
    <t>Risk ID</t>
    <phoneticPr fontId="11" type="noConversion"/>
  </si>
  <si>
    <t>Title</t>
    <phoneticPr fontId="11" type="noConversion"/>
  </si>
  <si>
    <t>Description</t>
    <phoneticPr fontId="11" type="noConversion"/>
  </si>
  <si>
    <r>
      <t>Impact Description &amp; Source</t>
    </r>
    <r>
      <rPr>
        <b/>
        <sz val="14"/>
        <color rgb="FFFFFFFF"/>
        <rFont val="Arial"/>
        <family val="2"/>
        <scheme val="minor"/>
      </rPr>
      <t>​</t>
    </r>
  </si>
  <si>
    <r>
      <t>Status</t>
    </r>
    <r>
      <rPr>
        <b/>
        <sz val="14"/>
        <color rgb="FFFFFFFF"/>
        <rFont val="Arial"/>
        <family val="2"/>
        <scheme val="minor"/>
      </rPr>
      <t>​</t>
    </r>
  </si>
  <si>
    <r>
      <t>Owner</t>
    </r>
    <r>
      <rPr>
        <b/>
        <sz val="14"/>
        <color rgb="FFFFFFFF"/>
        <rFont val="Arial"/>
        <family val="2"/>
        <scheme val="minor"/>
      </rPr>
      <t>​</t>
    </r>
  </si>
  <si>
    <t>Create Date</t>
    <phoneticPr fontId="11" type="noConversion"/>
  </si>
  <si>
    <r>
      <t>Due Date</t>
    </r>
    <r>
      <rPr>
        <b/>
        <sz val="14"/>
        <color rgb="FFFFFFFF"/>
        <rFont val="Arial"/>
        <family val="2"/>
        <scheme val="minor"/>
      </rPr>
      <t>​</t>
    </r>
  </si>
  <si>
    <r>
      <t>Severity 
[Critical, High, Med, Low]</t>
    </r>
    <r>
      <rPr>
        <sz val="14"/>
        <color rgb="FFFFFFFF"/>
        <rFont val="Arial"/>
        <family val="2"/>
        <scheme val="minor"/>
      </rPr>
      <t>​</t>
    </r>
    <phoneticPr fontId="11" type="noConversion"/>
  </si>
  <si>
    <r>
      <t>Resolution/Mitigation</t>
    </r>
    <r>
      <rPr>
        <b/>
        <sz val="14"/>
        <color rgb="FFFFFFFF"/>
        <rFont val="Arial"/>
        <family val="2"/>
        <scheme val="minor"/>
      </rPr>
      <t>​</t>
    </r>
  </si>
  <si>
    <r>
      <t>Actions</t>
    </r>
    <r>
      <rPr>
        <b/>
        <sz val="14"/>
        <color rgb="FFFFFFFF"/>
        <rFont val="Arial"/>
        <family val="2"/>
        <scheme val="minor"/>
      </rPr>
      <t>​</t>
    </r>
  </si>
  <si>
    <t>Risk001</t>
    <phoneticPr fontId="11" type="noConversion"/>
  </si>
  <si>
    <t>Issue ID​</t>
  </si>
  <si>
    <t>Status​</t>
  </si>
  <si>
    <t>Priority</t>
    <phoneticPr fontId="11" type="noConversion"/>
  </si>
  <si>
    <t>Owner</t>
    <phoneticPr fontId="11" type="noConversion"/>
  </si>
  <si>
    <t>Closed
Date</t>
  </si>
  <si>
    <t>Impact</t>
    <phoneticPr fontId="11" type="noConversion"/>
  </si>
  <si>
    <t>影響說明</t>
    <phoneticPr fontId="11" type="noConversion"/>
  </si>
  <si>
    <t>解決方法說明</t>
    <phoneticPr fontId="11" type="noConversion"/>
  </si>
  <si>
    <t>Issue001</t>
    <phoneticPr fontId="11" type="noConversion"/>
  </si>
  <si>
    <t>法金授信ESG系統</t>
    <phoneticPr fontId="11" type="noConversion"/>
  </si>
  <si>
    <t>UAT大規模測試的AI評分至最後三小時的時候發生資源搶佔</t>
    <phoneticPr fontId="11" type="noConversion"/>
  </si>
  <si>
    <r>
      <t xml:space="preserve">20240108: </t>
    </r>
    <r>
      <rPr>
        <sz val="10"/>
        <color rgb="FF000000"/>
        <rFont val="PMingLiU"/>
        <family val="1"/>
      </rPr>
      <t>同步</t>
    </r>
    <r>
      <rPr>
        <sz val="10"/>
        <color rgb="FF000000"/>
        <rFont val="Arial"/>
        <family val="2"/>
        <scheme val="minor"/>
      </rPr>
      <t>ESG</t>
    </r>
    <r>
      <rPr>
        <sz val="10"/>
        <color rgb="FF000000"/>
        <rFont val="PMingLiU"/>
        <family val="1"/>
      </rPr>
      <t>狀況，週末執行</t>
    </r>
    <r>
      <rPr>
        <sz val="10"/>
        <color rgb="FF000000"/>
        <rFont val="Arial"/>
        <family val="2"/>
        <scheme val="minor"/>
      </rPr>
      <t>UAT</t>
    </r>
    <r>
      <rPr>
        <sz val="10"/>
        <color rgb="FF000000"/>
        <rFont val="PMingLiU"/>
        <family val="1"/>
      </rPr>
      <t>大規模測試的</t>
    </r>
    <r>
      <rPr>
        <sz val="10"/>
        <color rgb="FF000000"/>
        <rFont val="Arial"/>
        <family val="2"/>
        <scheme val="minor"/>
      </rPr>
      <t>AI</t>
    </r>
    <r>
      <rPr>
        <sz val="10"/>
        <color rgb="FF000000"/>
        <rFont val="PMingLiU"/>
        <family val="1"/>
      </rPr>
      <t>評分至最後三小時的時候發生資源搶佔（</t>
    </r>
    <r>
      <rPr>
        <sz val="10"/>
        <color rgb="FF000000"/>
        <rFont val="Arial"/>
        <family val="2"/>
        <scheme val="minor"/>
      </rPr>
      <t xml:space="preserve">AI </t>
    </r>
    <r>
      <rPr>
        <sz val="10"/>
        <color rgb="FF000000"/>
        <rFont val="PMingLiU"/>
        <family val="1"/>
      </rPr>
      <t>的</t>
    </r>
    <r>
      <rPr>
        <sz val="10"/>
        <color rgb="FF000000"/>
        <rFont val="Arial"/>
        <family val="2"/>
        <scheme val="minor"/>
      </rPr>
      <t xml:space="preserve"> cloud run </t>
    </r>
    <r>
      <rPr>
        <sz val="10"/>
        <color rgb="FF000000"/>
        <rFont val="PMingLiU"/>
        <family val="1"/>
      </rPr>
      <t>發生已經設定最少一台機器運行，資源還是被回收並被新機器取代的情形），故沒辦法順利產出結果檔，雲端團隊今日將討論處理方式</t>
    </r>
    <phoneticPr fontId="11" type="noConversion"/>
  </si>
  <si>
    <t>影響上線時程</t>
    <phoneticPr fontId="11" type="noConversion"/>
  </si>
  <si>
    <t>Dependency ID</t>
  </si>
  <si>
    <t>Project</t>
    <phoneticPr fontId="26" type="noConversion"/>
  </si>
  <si>
    <t>Dependencies</t>
    <phoneticPr fontId="11" type="noConversion"/>
  </si>
  <si>
    <t>Status</t>
    <phoneticPr fontId="11" type="noConversion"/>
  </si>
  <si>
    <t>Identified Date</t>
    <phoneticPr fontId="26" type="noConversion"/>
  </si>
  <si>
    <t>Ready by</t>
    <phoneticPr fontId="26" type="noConversion"/>
  </si>
  <si>
    <t>Target Date</t>
    <phoneticPr fontId="11" type="noConversion"/>
  </si>
  <si>
    <t xml:space="preserve">Contingency
</t>
  </si>
  <si>
    <t>Dep001</t>
  </si>
  <si>
    <t xml:space="preserve">MR APP </t>
    <phoneticPr fontId="11" type="noConversion"/>
  </si>
  <si>
    <t>Dep002</t>
  </si>
  <si>
    <t>Dep003</t>
  </si>
  <si>
    <t>Dep004</t>
  </si>
  <si>
    <t>Dep005</t>
  </si>
  <si>
    <t>Decision ID​</t>
    <phoneticPr fontId="11" type="noConversion"/>
  </si>
  <si>
    <t>Status​</t>
    <phoneticPr fontId="11" type="noConversion"/>
  </si>
  <si>
    <t>Key Participants​</t>
    <phoneticPr fontId="11" type="noConversion"/>
  </si>
  <si>
    <t>Decision Maker</t>
    <phoneticPr fontId="11" type="noConversion"/>
  </si>
  <si>
    <t>Considered Alternatives
替代方案</t>
    <phoneticPr fontId="11" type="noConversion"/>
  </si>
  <si>
    <t>Comments</t>
    <phoneticPr fontId="11" type="noConversion"/>
  </si>
  <si>
    <t>Action ID</t>
    <phoneticPr fontId="11" type="noConversion"/>
  </si>
  <si>
    <t>Risk/Issue ID</t>
    <phoneticPr fontId="11" type="noConversion"/>
  </si>
  <si>
    <t>Type of Decision​</t>
    <phoneticPr fontId="11" type="noConversion"/>
  </si>
  <si>
    <t>Dec001</t>
    <phoneticPr fontId="11" type="noConversion"/>
  </si>
  <si>
    <t>線上櫃檯站台入口架構評估(新增雲端獨立網域)</t>
    <phoneticPr fontId="11" type="noConversion"/>
  </si>
  <si>
    <t>DO NOT UPDATE - Let PJM know if this needs to be modified</t>
  </si>
  <si>
    <t>Impact and Probability</t>
  </si>
  <si>
    <t>Category</t>
  </si>
  <si>
    <t>Y/N</t>
  </si>
  <si>
    <t>Action Status</t>
  </si>
  <si>
    <t>General Priority</t>
  </si>
  <si>
    <t>Budget</t>
  </si>
  <si>
    <t>No</t>
  </si>
  <si>
    <t>Cancelled</t>
  </si>
  <si>
    <t>Low</t>
  </si>
  <si>
    <t>Budget &amp; Schedule</t>
  </si>
  <si>
    <t>Yes</t>
  </si>
  <si>
    <t>Completed</t>
  </si>
  <si>
    <t>Medium</t>
  </si>
  <si>
    <t>Pending</t>
    <phoneticPr fontId="11" type="noConversion"/>
  </si>
  <si>
    <t>Personnel</t>
  </si>
  <si>
    <t>Deferred</t>
  </si>
  <si>
    <t>Schedule</t>
  </si>
  <si>
    <t>In Progress</t>
  </si>
  <si>
    <t>Scope</t>
  </si>
  <si>
    <t>Not Started</t>
  </si>
  <si>
    <t>Technical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</si>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</sst>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164" formatCode="&quot;$&quot;#,##0;[Red]\-&quot;$&quot;#,##0"/>
    <numFmt numFmtId="165" formatCode="&quot;$&quot;#,##0.00;[Red]\-&quot;$&quot;#,##0.00"/>
    <numFmt numFmtId="166" formatCode="_-&quot;$&quot;* #,##0.00_-;\-&quot;$&quot;* #,##0.00_-;_-&quot;$&quot;* &quot;-&quot;??_-;_-@_-"/>
    <numFmt numFmtId="167" formatCode="yyyy/mm"/>
    <numFmt numFmtId="168" formatCode="yyyy/m"/>
    <numFmt numFmtId="169" formatCode="&quot;$&quot;#,##0.00"/>
  </numFmts>
  <fonts count="83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rgb="FF000000"/>
      <name val="PMingLiU"/>
      <family val="1"/>
    </font>
    <font>
      <sz val="10"/>
      <color theme="1"/>
      <name val="PMingLiU"/>
      <family val="1"/>
    </font>
    <font>
      <sz val="10"/>
      <color rgb="FF000000"/>
      <name val="Arial"/>
      <family val="1"/>
      <scheme val="minor"/>
    </font>
    <font>
      <sz val="10"/>
      <color rgb="FFC00000"/>
      <name val="Arial"/>
      <family val="2"/>
      <scheme val="minor"/>
    </font>
    <font>
      <sz val="10"/>
      <color rgb="FFC00000"/>
      <name val="Arial"/>
      <family val="2"/>
      <charset val="136"/>
      <scheme val="minor"/>
    </font>
    <font>
      <sz val="10"/>
      <color theme="4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Segoe UI"/>
      <family val="2"/>
    </font>
    <font>
      <sz val="10"/>
      <color rgb="FFC00000"/>
      <name val="PMingLiU"/>
      <family val="1"/>
    </font>
    <font>
      <sz val="14"/>
      <color rgb="FFFFFFFF"/>
      <name val="Arial"/>
      <family val="2"/>
      <scheme val="minor"/>
    </font>
    <font>
      <b/>
      <sz val="14"/>
      <color rgb="FFFFFFFF"/>
      <name val="Arial"/>
      <family val="2"/>
      <scheme val="minor"/>
    </font>
    <font>
      <sz val="8"/>
      <name val="Arial"/>
      <family val="2"/>
      <scheme val="minor"/>
    </font>
    <font>
      <sz val="18"/>
      <color rgb="FFFF0000"/>
      <name val="Arial"/>
      <family val="2"/>
      <scheme val="minor"/>
    </font>
    <font>
      <sz val="18"/>
      <color theme="6"/>
      <name val="Arial"/>
      <family val="2"/>
      <scheme val="minor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charset val="136"/>
    </font>
    <font>
      <sz val="10"/>
      <color rgb="FF000000"/>
      <name val="Microsoft JhengHei"/>
      <family val="2"/>
      <charset val="136"/>
    </font>
    <font>
      <sz val="10"/>
      <color rgb="FF000000"/>
      <name val="Microsoft JhengHei"/>
      <family val="2"/>
    </font>
    <font>
      <sz val="10"/>
      <color rgb="FF000000"/>
      <name val="Times New Roman"/>
      <family val="1"/>
    </font>
    <font>
      <sz val="12"/>
      <color rgb="FF000000"/>
      <name val="Arial"/>
      <family val="2"/>
      <scheme val="minor"/>
    </font>
    <font>
      <sz val="14"/>
      <color rgb="FF000000"/>
      <name val="Calibri"/>
      <family val="2"/>
    </font>
    <font>
      <sz val="14"/>
      <color rgb="FF00B050"/>
      <name val="Calibri"/>
      <family val="2"/>
    </font>
    <font>
      <sz val="14"/>
      <color rgb="FFFFC000"/>
      <name val="Calibri"/>
      <family val="2"/>
    </font>
    <font>
      <sz val="12"/>
      <color rgb="FF000000"/>
      <name val="Calibri"/>
      <family val="2"/>
    </font>
    <font>
      <sz val="12"/>
      <color rgb="FF00B050"/>
      <name val="Calibri"/>
      <family val="2"/>
    </font>
    <font>
      <sz val="12"/>
      <color rgb="FF000000"/>
      <name val="Microsoft JhengHei"/>
      <family val="2"/>
      <charset val="136"/>
    </font>
    <font>
      <sz val="12"/>
      <color rgb="FF000000"/>
      <name val="Arial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C000"/>
      <name val="Calibri"/>
      <family val="2"/>
    </font>
    <font>
      <sz val="12"/>
      <color rgb="FFFF0000"/>
      <name val="Arial"/>
      <family val="2"/>
      <scheme val="minor"/>
    </font>
    <font>
      <sz val="12"/>
      <color theme="6"/>
      <name val="Calibri"/>
      <family val="2"/>
    </font>
    <font>
      <b/>
      <sz val="10"/>
      <color rgb="FF000000"/>
      <name val="Arial"/>
      <family val="2"/>
      <charset val="136"/>
      <scheme val="minor"/>
    </font>
    <font>
      <b/>
      <sz val="10"/>
      <color rgb="FF000000"/>
      <name val="Microsoft JhengHei"/>
      <family val="2"/>
      <charset val="136"/>
    </font>
    <font>
      <sz val="9"/>
      <name val="Arial"/>
      <family val="2"/>
      <charset val="136"/>
      <scheme val="minor"/>
    </font>
    <font>
      <sz val="11"/>
      <color theme="1"/>
      <name val="Arial"/>
      <family val="2"/>
    </font>
    <font>
      <u/>
      <sz val="12"/>
      <color theme="10"/>
      <name val="Arial"/>
      <family val="2"/>
      <charset val="136"/>
      <scheme val="minor"/>
    </font>
    <font>
      <sz val="12"/>
      <color theme="1"/>
      <name val="Microsoft JhengHei"/>
      <family val="2"/>
      <charset val="136"/>
    </font>
    <font>
      <b/>
      <sz val="12"/>
      <color theme="1"/>
      <name val="Arial"/>
      <family val="2"/>
      <charset val="136"/>
      <scheme val="minor"/>
    </font>
    <font>
      <b/>
      <sz val="12"/>
      <color rgb="FF3B3838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1"/>
      <color rgb="FF3B3838"/>
      <name val="微軟正黑體"/>
      <family val="2"/>
      <charset val="136"/>
    </font>
    <font>
      <sz val="12"/>
      <color rgb="FF000000"/>
      <name val="新細明體"/>
      <family val="1"/>
      <charset val="136"/>
    </font>
    <font>
      <sz val="12"/>
      <color theme="1"/>
      <name val="新細明體"/>
      <family val="1"/>
      <charset val="136"/>
    </font>
    <font>
      <u/>
      <sz val="12"/>
      <color theme="10"/>
      <name val="Arial"/>
      <family val="2"/>
      <scheme val="minor"/>
    </font>
    <font>
      <u/>
      <sz val="12"/>
      <color rgb="FF0563C1"/>
      <name val="Arial"/>
      <family val="2"/>
      <scheme val="minor"/>
    </font>
    <font>
      <sz val="12"/>
      <color theme="1"/>
      <name val="Calibri"/>
      <family val="2"/>
      <charset val="1"/>
    </font>
    <font>
      <b/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rgb="FF5B5B5B"/>
      <name val="System-Ui"/>
      <family val="3"/>
      <charset val="136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3B3838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name val="微軟正黑體"/>
      <family val="2"/>
      <charset val="136"/>
    </font>
    <font>
      <sz val="10"/>
      <name val="微軟正黑體"/>
      <family val="2"/>
      <charset val="136"/>
    </font>
    <font>
      <sz val="12"/>
      <name val="Microsoft JhengHei UI"/>
      <family val="2"/>
    </font>
    <font>
      <b/>
      <sz val="12"/>
      <color theme="1"/>
      <name val="微軟正黑體"/>
      <family val="2"/>
      <charset val="136"/>
    </font>
    <font>
      <sz val="12"/>
      <name val="新細明體-ExtB"/>
      <family val="2"/>
      <charset val="136"/>
    </font>
    <font>
      <sz val="12"/>
      <name val="Microsoft JhengHei"/>
      <family val="2"/>
    </font>
    <font>
      <sz val="10"/>
      <color indexed="8"/>
      <name val="Helvetica Neue"/>
    </font>
    <font>
      <u/>
      <sz val="10"/>
      <color theme="10"/>
      <name val="Helvetica Neue"/>
      <family val="1"/>
      <charset val="136"/>
    </font>
    <font>
      <b/>
      <sz val="12"/>
      <name val="Microsoft JhengHei"/>
      <family val="2"/>
    </font>
    <font>
      <sz val="12"/>
      <color rgb="FF000000"/>
      <name val="微軟正黑體"/>
      <charset val="1"/>
    </font>
    <font>
      <b/>
      <sz val="10"/>
      <color rgb="FF000000"/>
      <name val="Arial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1F3"/>
        <bgColor rgb="FF000000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0" fontId="18" fillId="0" borderId="0"/>
    <xf numFmtId="0" fontId="21" fillId="0" borderId="0"/>
    <xf numFmtId="0" fontId="21" fillId="0" borderId="0"/>
    <xf numFmtId="0" fontId="9" fillId="0" borderId="0">
      <alignment vertical="center"/>
    </xf>
    <xf numFmtId="0" fontId="51" fillId="0" borderId="0"/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68" fillId="0" borderId="0" applyNumberFormat="0" applyFill="0" applyBorder="0" applyAlignment="0" applyProtection="0"/>
    <xf numFmtId="166" fontId="69" fillId="0" borderId="0" applyFont="0" applyFill="0" applyBorder="0" applyAlignment="0" applyProtection="0">
      <alignment vertical="center"/>
    </xf>
    <xf numFmtId="0" fontId="78" fillId="0" borderId="0" applyNumberFormat="0" applyFill="0" applyBorder="0" applyProtection="0">
      <alignment vertical="top" wrapText="1"/>
    </xf>
    <xf numFmtId="0" fontId="79" fillId="0" borderId="0" applyNumberFormat="0" applyFill="0" applyBorder="0" applyAlignment="0" applyProtection="0">
      <alignment vertical="top" wrapText="1"/>
    </xf>
  </cellStyleXfs>
  <cellXfs count="275">
    <xf numFmtId="0" fontId="0" fillId="0" borderId="0" xfId="0"/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2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68" fontId="10" fillId="0" borderId="0" xfId="0" quotePrefix="1" applyNumberFormat="1" applyFont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167" fontId="10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8" fillId="0" borderId="0" xfId="1"/>
    <xf numFmtId="0" fontId="20" fillId="3" borderId="2" xfId="1" applyFont="1" applyFill="1" applyBorder="1" applyAlignment="1">
      <alignment horizontal="center"/>
    </xf>
    <xf numFmtId="0" fontId="20" fillId="3" borderId="3" xfId="1" applyFont="1" applyFill="1" applyBorder="1" applyAlignment="1">
      <alignment horizontal="center"/>
    </xf>
    <xf numFmtId="0" fontId="20" fillId="3" borderId="2" xfId="1" applyFont="1" applyFill="1" applyBorder="1"/>
    <xf numFmtId="0" fontId="18" fillId="0" borderId="5" xfId="1" applyBorder="1"/>
    <xf numFmtId="0" fontId="18" fillId="0" borderId="4" xfId="1" applyBorder="1"/>
    <xf numFmtId="0" fontId="18" fillId="0" borderId="6" xfId="1" applyBorder="1"/>
    <xf numFmtId="0" fontId="18" fillId="0" borderId="7" xfId="1" applyBorder="1"/>
    <xf numFmtId="0" fontId="22" fillId="0" borderId="0" xfId="1" applyFont="1" applyAlignment="1">
      <alignment wrapText="1"/>
    </xf>
    <xf numFmtId="14" fontId="0" fillId="0" borderId="0" xfId="0" applyNumberFormat="1"/>
    <xf numFmtId="0" fontId="14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7" fontId="0" fillId="0" borderId="0" xfId="0" applyNumberFormat="1" applyAlignment="1">
      <alignment horizontal="center" vertical="center" wrapText="1"/>
    </xf>
    <xf numFmtId="0" fontId="21" fillId="0" borderId="8" xfId="2" applyBorder="1"/>
    <xf numFmtId="0" fontId="21" fillId="0" borderId="9" xfId="2" applyBorder="1"/>
    <xf numFmtId="14" fontId="0" fillId="0" borderId="0" xfId="0" applyNumberFormat="1" applyAlignment="1">
      <alignment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30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1" fillId="0" borderId="0" xfId="0" applyFont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4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4" fontId="10" fillId="0" borderId="0" xfId="0" applyNumberFormat="1" applyFont="1" applyAlignment="1">
      <alignment vertical="center" wrapText="1"/>
    </xf>
    <xf numFmtId="0" fontId="46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39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48" fillId="0" borderId="0" xfId="0" applyFont="1" applyAlignment="1">
      <alignment vertical="center" wrapText="1"/>
    </xf>
    <xf numFmtId="0" fontId="0" fillId="0" borderId="11" xfId="0" applyBorder="1" applyAlignment="1">
      <alignment vertical="center"/>
    </xf>
    <xf numFmtId="0" fontId="55" fillId="4" borderId="11" xfId="0" applyFont="1" applyFill="1" applyBorder="1" applyAlignment="1">
      <alignment horizontal="center" vertical="center" wrapText="1" readingOrder="1"/>
    </xf>
    <xf numFmtId="0" fontId="56" fillId="4" borderId="11" xfId="0" applyFont="1" applyFill="1" applyBorder="1" applyAlignment="1">
      <alignment horizontal="center" vertical="center" wrapText="1" readingOrder="1"/>
    </xf>
    <xf numFmtId="0" fontId="55" fillId="5" borderId="11" xfId="0" applyFont="1" applyFill="1" applyBorder="1" applyAlignment="1">
      <alignment horizontal="center" vertical="center" wrapText="1" readingOrder="1"/>
    </xf>
    <xf numFmtId="0" fontId="54" fillId="0" borderId="11" xfId="0" applyFont="1" applyBorder="1" applyAlignment="1">
      <alignment vertical="center"/>
    </xf>
    <xf numFmtId="8" fontId="0" fillId="0" borderId="11" xfId="0" applyNumberFormat="1" applyBorder="1" applyAlignment="1">
      <alignment vertical="center"/>
    </xf>
    <xf numFmtId="6" fontId="0" fillId="0" borderId="11" xfId="0" applyNumberFormat="1" applyBorder="1" applyAlignment="1">
      <alignment vertical="center"/>
    </xf>
    <xf numFmtId="0" fontId="0" fillId="0" borderId="11" xfId="0" applyBorder="1" applyAlignment="1">
      <alignment vertical="center" wrapText="1"/>
    </xf>
    <xf numFmtId="6" fontId="58" fillId="0" borderId="11" xfId="0" applyNumberFormat="1" applyFont="1" applyBorder="1" applyAlignment="1">
      <alignment vertical="center"/>
    </xf>
    <xf numFmtId="0" fontId="52" fillId="0" borderId="11" xfId="13" applyBorder="1" applyAlignment="1">
      <alignment vertical="center" wrapText="1"/>
    </xf>
    <xf numFmtId="0" fontId="58" fillId="0" borderId="11" xfId="0" applyFont="1" applyBorder="1" applyAlignment="1">
      <alignment vertical="center" wrapText="1"/>
    </xf>
    <xf numFmtId="0" fontId="52" fillId="0" borderId="11" xfId="13" applyBorder="1">
      <alignment vertical="center"/>
    </xf>
    <xf numFmtId="6" fontId="0" fillId="0" borderId="11" xfId="0" applyNumberForma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8" fontId="0" fillId="0" borderId="11" xfId="0" applyNumberFormat="1" applyBorder="1" applyAlignment="1">
      <alignment horizontal="center" vertical="center"/>
    </xf>
    <xf numFmtId="8" fontId="59" fillId="0" borderId="11" xfId="0" applyNumberFormat="1" applyFont="1" applyBorder="1" applyAlignment="1">
      <alignment vertical="center"/>
    </xf>
    <xf numFmtId="169" fontId="0" fillId="0" borderId="11" xfId="0" applyNumberFormat="1" applyBorder="1" applyAlignment="1">
      <alignment vertical="center"/>
    </xf>
    <xf numFmtId="169" fontId="53" fillId="0" borderId="11" xfId="0" applyNumberFormat="1" applyFont="1" applyBorder="1" applyAlignment="1">
      <alignment vertical="center" wrapText="1"/>
    </xf>
    <xf numFmtId="0" fontId="42" fillId="0" borderId="11" xfId="0" applyFont="1" applyBorder="1" applyAlignment="1">
      <alignment vertical="center" wrapText="1"/>
    </xf>
    <xf numFmtId="0" fontId="55" fillId="5" borderId="11" xfId="0" applyFont="1" applyFill="1" applyBorder="1" applyAlignment="1">
      <alignment horizontal="center" vertical="center" readingOrder="1"/>
    </xf>
    <xf numFmtId="0" fontId="60" fillId="0" borderId="11" xfId="13" applyFont="1" applyBorder="1" applyAlignment="1">
      <alignment vertical="center" wrapText="1"/>
    </xf>
    <xf numFmtId="0" fontId="53" fillId="0" borderId="11" xfId="0" applyFont="1" applyBorder="1" applyAlignment="1">
      <alignment vertical="center" wrapText="1"/>
    </xf>
    <xf numFmtId="0" fontId="52" fillId="0" borderId="11" xfId="13" applyBorder="1" applyAlignment="1">
      <alignment vertical="center"/>
    </xf>
    <xf numFmtId="0" fontId="52" fillId="0" borderId="11" xfId="10" applyBorder="1">
      <alignment vertical="center"/>
    </xf>
    <xf numFmtId="0" fontId="62" fillId="0" borderId="11" xfId="0" applyFont="1" applyBorder="1" applyAlignment="1">
      <alignment vertical="center" wrapText="1"/>
    </xf>
    <xf numFmtId="8" fontId="0" fillId="0" borderId="11" xfId="0" applyNumberFormat="1" applyBorder="1" applyAlignment="1">
      <alignment vertical="center" wrapText="1"/>
    </xf>
    <xf numFmtId="0" fontId="54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8" fontId="0" fillId="0" borderId="12" xfId="0" applyNumberFormat="1" applyBorder="1" applyAlignment="1">
      <alignment vertical="center"/>
    </xf>
    <xf numFmtId="8" fontId="0" fillId="0" borderId="12" xfId="0" applyNumberFormat="1" applyBorder="1" applyAlignment="1">
      <alignment vertical="center" wrapText="1"/>
    </xf>
    <xf numFmtId="0" fontId="62" fillId="0" borderId="12" xfId="0" applyFont="1" applyBorder="1" applyAlignment="1">
      <alignment vertical="center" wrapText="1"/>
    </xf>
    <xf numFmtId="0" fontId="52" fillId="0" borderId="11" xfId="13" applyFill="1" applyBorder="1">
      <alignment vertical="center"/>
    </xf>
    <xf numFmtId="169" fontId="0" fillId="0" borderId="11" xfId="0" applyNumberFormat="1" applyBorder="1" applyAlignment="1">
      <alignment vertical="center" wrapText="1"/>
    </xf>
    <xf numFmtId="0" fontId="63" fillId="0" borderId="11" xfId="0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8" fontId="0" fillId="0" borderId="13" xfId="0" applyNumberFormat="1" applyBorder="1" applyAlignment="1">
      <alignment vertical="center"/>
    </xf>
    <xf numFmtId="3" fontId="0" fillId="0" borderId="11" xfId="0" applyNumberFormat="1" applyBorder="1" applyAlignment="1">
      <alignment vertical="center"/>
    </xf>
    <xf numFmtId="0" fontId="55" fillId="6" borderId="11" xfId="0" applyFont="1" applyFill="1" applyBorder="1" applyAlignment="1">
      <alignment horizontal="center" vertical="center" wrapText="1" readingOrder="1"/>
    </xf>
    <xf numFmtId="0" fontId="67" fillId="0" borderId="11" xfId="0" applyFont="1" applyBorder="1" applyAlignment="1">
      <alignment wrapText="1"/>
    </xf>
    <xf numFmtId="0" fontId="55" fillId="5" borderId="13" xfId="0" applyFont="1" applyFill="1" applyBorder="1" applyAlignment="1">
      <alignment horizontal="center" vertical="center" wrapText="1" readingOrder="1"/>
    </xf>
    <xf numFmtId="6" fontId="0" fillId="0" borderId="13" xfId="0" applyNumberFormat="1" applyBorder="1" applyAlignment="1">
      <alignment vertical="center"/>
    </xf>
    <xf numFmtId="169" fontId="0" fillId="0" borderId="13" xfId="0" applyNumberFormat="1" applyBorder="1" applyAlignment="1">
      <alignment vertical="center"/>
    </xf>
    <xf numFmtId="0" fontId="55" fillId="5" borderId="10" xfId="0" applyFont="1" applyFill="1" applyBorder="1" applyAlignment="1">
      <alignment horizontal="center" vertical="center" wrapText="1" readingOrder="1"/>
    </xf>
    <xf numFmtId="0" fontId="0" fillId="0" borderId="10" xfId="0" applyBorder="1" applyAlignment="1">
      <alignment vertical="center"/>
    </xf>
    <xf numFmtId="0" fontId="0" fillId="0" borderId="0" xfId="0" applyAlignment="1">
      <alignment horizontal="center" vertical="center"/>
    </xf>
    <xf numFmtId="0" fontId="54" fillId="0" borderId="11" xfId="0" applyFont="1" applyBorder="1" applyAlignment="1">
      <alignment horizontal="center" vertical="center"/>
    </xf>
    <xf numFmtId="165" fontId="58" fillId="0" borderId="11" xfId="0" applyNumberFormat="1" applyFont="1" applyBorder="1" applyAlignment="1">
      <alignment vertical="center"/>
    </xf>
    <xf numFmtId="164" fontId="58" fillId="0" borderId="11" xfId="0" applyNumberFormat="1" applyFont="1" applyBorder="1" applyAlignment="1">
      <alignment vertical="center"/>
    </xf>
    <xf numFmtId="0" fontId="54" fillId="0" borderId="10" xfId="0" applyFont="1" applyBorder="1" applyAlignment="1">
      <alignment vertical="center"/>
    </xf>
    <xf numFmtId="0" fontId="36" fillId="0" borderId="0" xfId="0" applyFont="1"/>
    <xf numFmtId="0" fontId="36" fillId="0" borderId="11" xfId="0" applyFont="1" applyBorder="1" applyAlignment="1">
      <alignment vertical="center"/>
    </xf>
    <xf numFmtId="8" fontId="36" fillId="0" borderId="11" xfId="0" applyNumberFormat="1" applyFont="1" applyBorder="1" applyAlignment="1">
      <alignment vertical="center"/>
    </xf>
    <xf numFmtId="0" fontId="52" fillId="0" borderId="11" xfId="13" applyFill="1" applyBorder="1" applyAlignment="1">
      <alignment vertical="center"/>
    </xf>
    <xf numFmtId="169" fontId="36" fillId="0" borderId="11" xfId="0" applyNumberFormat="1" applyFont="1" applyBorder="1" applyAlignment="1">
      <alignment vertical="center"/>
    </xf>
    <xf numFmtId="6" fontId="36" fillId="0" borderId="11" xfId="0" applyNumberFormat="1" applyFont="1" applyBorder="1" applyAlignment="1">
      <alignment vertical="center"/>
    </xf>
    <xf numFmtId="0" fontId="36" fillId="0" borderId="12" xfId="0" applyFont="1" applyBorder="1" applyAlignment="1">
      <alignment vertical="center"/>
    </xf>
    <xf numFmtId="8" fontId="36" fillId="0" borderId="12" xfId="0" applyNumberFormat="1" applyFont="1" applyBorder="1" applyAlignment="1">
      <alignment vertical="center"/>
    </xf>
    <xf numFmtId="0" fontId="52" fillId="0" borderId="12" xfId="13" applyBorder="1">
      <alignment vertical="center"/>
    </xf>
    <xf numFmtId="0" fontId="36" fillId="0" borderId="10" xfId="0" applyFont="1" applyBorder="1" applyAlignment="1">
      <alignment vertical="center"/>
    </xf>
    <xf numFmtId="165" fontId="36" fillId="0" borderId="10" xfId="0" applyNumberFormat="1" applyFont="1" applyBorder="1" applyAlignment="1">
      <alignment vertical="center"/>
    </xf>
    <xf numFmtId="0" fontId="36" fillId="0" borderId="10" xfId="0" applyFont="1" applyBorder="1" applyAlignment="1">
      <alignment vertical="center" wrapText="1"/>
    </xf>
    <xf numFmtId="0" fontId="60" fillId="0" borderId="10" xfId="15" applyFont="1" applyBorder="1" applyAlignment="1">
      <alignment vertical="center"/>
    </xf>
    <xf numFmtId="0" fontId="36" fillId="0" borderId="10" xfId="0" applyFont="1" applyBorder="1"/>
    <xf numFmtId="0" fontId="36" fillId="0" borderId="11" xfId="0" applyFont="1" applyBorder="1" applyAlignment="1">
      <alignment horizontal="center" vertical="center" wrapText="1"/>
    </xf>
    <xf numFmtId="8" fontId="36" fillId="0" borderId="11" xfId="0" applyNumberFormat="1" applyFont="1" applyBorder="1" applyAlignment="1">
      <alignment horizontal="left" vertical="center" wrapText="1"/>
    </xf>
    <xf numFmtId="0" fontId="71" fillId="7" borderId="10" xfId="0" applyFont="1" applyFill="1" applyBorder="1" applyAlignment="1">
      <alignment horizontal="center" vertical="center" wrapText="1" readingOrder="1"/>
    </xf>
    <xf numFmtId="0" fontId="72" fillId="0" borderId="10" xfId="0" applyFont="1" applyBorder="1" applyAlignment="1">
      <alignment horizontal="left" vertical="center"/>
    </xf>
    <xf numFmtId="0" fontId="72" fillId="0" borderId="10" xfId="0" applyFont="1" applyBorder="1" applyAlignment="1">
      <alignment horizontal="left" vertical="center" wrapText="1"/>
    </xf>
    <xf numFmtId="6" fontId="72" fillId="0" borderId="10" xfId="0" applyNumberFormat="1" applyFont="1" applyBorder="1" applyAlignment="1">
      <alignment horizontal="left" vertical="center" wrapText="1"/>
    </xf>
    <xf numFmtId="8" fontId="72" fillId="0" borderId="10" xfId="0" applyNumberFormat="1" applyFont="1" applyBorder="1" applyAlignment="1">
      <alignment horizontal="left" vertical="center" wrapText="1"/>
    </xf>
    <xf numFmtId="169" fontId="72" fillId="0" borderId="10" xfId="0" applyNumberFormat="1" applyFont="1" applyBorder="1" applyAlignment="1">
      <alignment horizontal="left" vertical="center" wrapText="1"/>
    </xf>
    <xf numFmtId="0" fontId="72" fillId="8" borderId="10" xfId="0" applyFont="1" applyFill="1" applyBorder="1" applyAlignment="1">
      <alignment horizontal="left" vertical="center"/>
    </xf>
    <xf numFmtId="0" fontId="72" fillId="8" borderId="10" xfId="0" applyFont="1" applyFill="1" applyBorder="1" applyAlignment="1">
      <alignment horizontal="left" vertical="center" wrapText="1"/>
    </xf>
    <xf numFmtId="17" fontId="73" fillId="8" borderId="10" xfId="0" applyNumberFormat="1" applyFont="1" applyFill="1" applyBorder="1" applyAlignment="1">
      <alignment vertical="center" wrapText="1" readingOrder="1"/>
    </xf>
    <xf numFmtId="17" fontId="73" fillId="4" borderId="10" xfId="0" applyNumberFormat="1" applyFont="1" applyFill="1" applyBorder="1" applyAlignment="1">
      <alignment vertical="center" wrapText="1" readingOrder="1"/>
    </xf>
    <xf numFmtId="0" fontId="44" fillId="0" borderId="10" xfId="0" applyFont="1" applyBorder="1" applyAlignment="1">
      <alignment vertical="center"/>
    </xf>
    <xf numFmtId="0" fontId="44" fillId="0" borderId="10" xfId="0" applyFont="1" applyBorder="1" applyAlignment="1">
      <alignment vertical="center" wrapText="1"/>
    </xf>
    <xf numFmtId="0" fontId="71" fillId="0" borderId="10" xfId="0" applyFont="1" applyBorder="1" applyAlignment="1">
      <alignment horizontal="center" vertical="center"/>
    </xf>
    <xf numFmtId="165" fontId="72" fillId="0" borderId="10" xfId="0" applyNumberFormat="1" applyFont="1" applyBorder="1" applyAlignment="1">
      <alignment horizontal="right" vertical="center"/>
    </xf>
    <xf numFmtId="0" fontId="72" fillId="9" borderId="10" xfId="0" applyFont="1" applyFill="1" applyBorder="1" applyAlignment="1">
      <alignment horizontal="left" vertical="center"/>
    </xf>
    <xf numFmtId="0" fontId="72" fillId="9" borderId="10" xfId="0" applyFont="1" applyFill="1" applyBorder="1" applyAlignment="1">
      <alignment horizontal="left" vertical="center" wrapText="1"/>
    </xf>
    <xf numFmtId="0" fontId="44" fillId="9" borderId="10" xfId="0" applyFont="1" applyFill="1" applyBorder="1" applyAlignment="1">
      <alignment vertical="center"/>
    </xf>
    <xf numFmtId="8" fontId="72" fillId="8" borderId="10" xfId="0" applyNumberFormat="1" applyFont="1" applyFill="1" applyBorder="1" applyAlignment="1">
      <alignment horizontal="left" vertical="center"/>
    </xf>
    <xf numFmtId="0" fontId="52" fillId="0" borderId="11" xfId="13" applyBorder="1" applyAlignment="1">
      <alignment horizontal="center" vertical="center"/>
    </xf>
    <xf numFmtId="49" fontId="73" fillId="4" borderId="10" xfId="0" applyNumberFormat="1" applyFont="1" applyFill="1" applyBorder="1" applyAlignment="1">
      <alignment vertical="center" wrapText="1" readingOrder="1"/>
    </xf>
    <xf numFmtId="49" fontId="71" fillId="5" borderId="10" xfId="0" applyNumberFormat="1" applyFont="1" applyFill="1" applyBorder="1" applyAlignment="1">
      <alignment horizontal="center" vertical="center" wrapText="1" readingOrder="1"/>
    </xf>
    <xf numFmtId="49" fontId="72" fillId="0" borderId="10" xfId="0" applyNumberFormat="1" applyFont="1" applyBorder="1" applyAlignment="1">
      <alignment horizontal="left" vertical="center" wrapText="1"/>
    </xf>
    <xf numFmtId="49" fontId="72" fillId="0" borderId="10" xfId="0" quotePrefix="1" applyNumberFormat="1" applyFont="1" applyBorder="1" applyAlignment="1">
      <alignment horizontal="left" vertical="center" wrapText="1"/>
    </xf>
    <xf numFmtId="49" fontId="72" fillId="8" borderId="10" xfId="0" applyNumberFormat="1" applyFont="1" applyFill="1" applyBorder="1" applyAlignment="1">
      <alignment horizontal="left" vertical="center" wrapText="1"/>
    </xf>
    <xf numFmtId="49" fontId="72" fillId="9" borderId="10" xfId="0" applyNumberFormat="1" applyFont="1" applyFill="1" applyBorder="1" applyAlignment="1">
      <alignment horizontal="left" vertical="center" wrapText="1"/>
    </xf>
    <xf numFmtId="6" fontId="0" fillId="0" borderId="11" xfId="0" applyNumberFormat="1" applyBorder="1" applyAlignment="1">
      <alignment horizontal="center" vertical="center"/>
    </xf>
    <xf numFmtId="0" fontId="52" fillId="0" borderId="11" xfId="13" applyBorder="1" applyAlignment="1">
      <alignment horizontal="center" vertical="center" wrapText="1"/>
    </xf>
    <xf numFmtId="6" fontId="0" fillId="0" borderId="11" xfId="0" quotePrefix="1" applyNumberFormat="1" applyBorder="1" applyAlignment="1">
      <alignment horizontal="center" vertical="center"/>
    </xf>
    <xf numFmtId="6" fontId="0" fillId="0" borderId="11" xfId="0" applyNumberForma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75" fillId="0" borderId="11" xfId="0" applyFont="1" applyBorder="1" applyAlignment="1">
      <alignment horizontal="center" vertical="center"/>
    </xf>
    <xf numFmtId="49" fontId="72" fillId="0" borderId="10" xfId="16" applyNumberFormat="1" applyFont="1" applyFill="1" applyBorder="1" applyAlignment="1">
      <alignment horizontal="left" vertical="center"/>
    </xf>
    <xf numFmtId="49" fontId="72" fillId="8" borderId="10" xfId="16" applyNumberFormat="1" applyFont="1" applyFill="1" applyBorder="1" applyAlignment="1">
      <alignment horizontal="left" vertical="center"/>
    </xf>
    <xf numFmtId="49" fontId="72" fillId="8" borderId="10" xfId="16" quotePrefix="1" applyNumberFormat="1" applyFont="1" applyFill="1" applyBorder="1" applyAlignment="1">
      <alignment horizontal="left" vertical="center"/>
    </xf>
    <xf numFmtId="49" fontId="44" fillId="0" borderId="10" xfId="0" quotePrefix="1" applyNumberFormat="1" applyFont="1" applyBorder="1" applyAlignment="1">
      <alignment vertical="center"/>
    </xf>
    <xf numFmtId="49" fontId="72" fillId="0" borderId="10" xfId="0" applyNumberFormat="1" applyFont="1" applyBorder="1" applyAlignment="1">
      <alignment horizontal="left" vertical="center"/>
    </xf>
    <xf numFmtId="49" fontId="72" fillId="0" borderId="10" xfId="0" quotePrefix="1" applyNumberFormat="1" applyFont="1" applyBorder="1" applyAlignment="1">
      <alignment horizontal="left" vertical="center"/>
    </xf>
    <xf numFmtId="49" fontId="72" fillId="0" borderId="10" xfId="16" applyNumberFormat="1" applyFont="1" applyFill="1" applyBorder="1" applyAlignment="1">
      <alignment vertical="center"/>
    </xf>
    <xf numFmtId="49" fontId="72" fillId="0" borderId="10" xfId="0" quotePrefix="1" applyNumberFormat="1" applyFont="1" applyBorder="1" applyAlignment="1">
      <alignment vertical="center" wrapText="1"/>
    </xf>
    <xf numFmtId="49" fontId="72" fillId="8" borderId="10" xfId="16" applyNumberFormat="1" applyFont="1" applyFill="1" applyBorder="1" applyAlignment="1">
      <alignment vertical="center"/>
    </xf>
    <xf numFmtId="49" fontId="72" fillId="0" borderId="10" xfId="0" applyNumberFormat="1" applyFont="1" applyBorder="1" applyAlignment="1">
      <alignment vertical="center"/>
    </xf>
    <xf numFmtId="0" fontId="52" fillId="0" borderId="10" xfId="13" applyBorder="1" applyAlignment="1">
      <alignment horizontal="left" vertical="center" wrapText="1"/>
    </xf>
    <xf numFmtId="0" fontId="52" fillId="8" borderId="10" xfId="13" applyFill="1" applyBorder="1" applyAlignment="1">
      <alignment horizontal="left" vertical="center" wrapText="1"/>
    </xf>
    <xf numFmtId="0" fontId="72" fillId="0" borderId="10" xfId="0" applyFont="1" applyBorder="1" applyAlignment="1">
      <alignment horizontal="center" vertical="center"/>
    </xf>
    <xf numFmtId="0" fontId="72" fillId="9" borderId="10" xfId="0" applyFont="1" applyFill="1" applyBorder="1" applyAlignment="1">
      <alignment horizontal="center" vertical="center"/>
    </xf>
    <xf numFmtId="49" fontId="72" fillId="0" borderId="10" xfId="0" applyNumberFormat="1" applyFont="1" applyBorder="1" applyAlignment="1">
      <alignment horizontal="center" vertical="center"/>
    </xf>
    <xf numFmtId="0" fontId="58" fillId="0" borderId="10" xfId="0" applyFont="1" applyBorder="1"/>
    <xf numFmtId="0" fontId="72" fillId="0" borderId="0" xfId="0" applyFont="1" applyAlignment="1">
      <alignment horizontal="left" vertical="center"/>
    </xf>
    <xf numFmtId="49" fontId="72" fillId="0" borderId="16" xfId="16" applyNumberFormat="1" applyFont="1" applyFill="1" applyBorder="1" applyAlignment="1">
      <alignment vertical="center"/>
    </xf>
    <xf numFmtId="8" fontId="72" fillId="8" borderId="10" xfId="16" applyNumberFormat="1" applyFont="1" applyFill="1" applyBorder="1" applyAlignment="1">
      <alignment horizontal="right" vertical="center"/>
    </xf>
    <xf numFmtId="17" fontId="73" fillId="4" borderId="10" xfId="0" applyNumberFormat="1" applyFont="1" applyFill="1" applyBorder="1" applyAlignment="1">
      <alignment horizontal="center" vertical="center" wrapText="1" readingOrder="1"/>
    </xf>
    <xf numFmtId="0" fontId="72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72" fillId="0" borderId="15" xfId="0" applyFont="1" applyBorder="1" applyAlignment="1">
      <alignment horizontal="center" vertical="center"/>
    </xf>
    <xf numFmtId="0" fontId="72" fillId="0" borderId="10" xfId="0" applyFont="1" applyBorder="1" applyAlignment="1">
      <alignment horizontal="center" vertical="center" wrapText="1"/>
    </xf>
    <xf numFmtId="49" fontId="72" fillId="0" borderId="14" xfId="0" applyNumberFormat="1" applyFont="1" applyBorder="1" applyAlignment="1">
      <alignment horizontal="center" vertical="center"/>
    </xf>
    <xf numFmtId="17" fontId="73" fillId="4" borderId="10" xfId="0" applyNumberFormat="1" applyFont="1" applyFill="1" applyBorder="1" applyAlignment="1">
      <alignment horizontal="right" vertical="center" wrapText="1" readingOrder="1"/>
    </xf>
    <xf numFmtId="0" fontId="71" fillId="5" borderId="10" xfId="0" applyFont="1" applyFill="1" applyBorder="1" applyAlignment="1">
      <alignment horizontal="right" vertical="center" wrapText="1" readingOrder="1"/>
    </xf>
    <xf numFmtId="8" fontId="72" fillId="0" borderId="10" xfId="16" applyNumberFormat="1" applyFont="1" applyFill="1" applyBorder="1" applyAlignment="1">
      <alignment horizontal="right" vertical="center"/>
    </xf>
    <xf numFmtId="165" fontId="72" fillId="9" borderId="10" xfId="0" applyNumberFormat="1" applyFont="1" applyFill="1" applyBorder="1" applyAlignment="1">
      <alignment horizontal="right" vertical="center"/>
    </xf>
    <xf numFmtId="165" fontId="44" fillId="0" borderId="10" xfId="0" applyNumberFormat="1" applyFont="1" applyBorder="1" applyAlignment="1">
      <alignment horizontal="right" vertical="center"/>
    </xf>
    <xf numFmtId="8" fontId="44" fillId="10" borderId="10" xfId="0" applyNumberFormat="1" applyFont="1" applyFill="1" applyBorder="1" applyAlignment="1">
      <alignment horizontal="right" vertical="center"/>
    </xf>
    <xf numFmtId="0" fontId="72" fillId="8" borderId="10" xfId="0" applyFont="1" applyFill="1" applyBorder="1" applyAlignment="1">
      <alignment horizontal="right" vertical="center"/>
    </xf>
    <xf numFmtId="8" fontId="72" fillId="11" borderId="10" xfId="16" applyNumberFormat="1" applyFont="1" applyFill="1" applyBorder="1" applyAlignment="1">
      <alignment horizontal="right" vertical="center"/>
    </xf>
    <xf numFmtId="8" fontId="72" fillId="0" borderId="15" xfId="16" applyNumberFormat="1" applyFont="1" applyFill="1" applyBorder="1" applyAlignment="1">
      <alignment horizontal="right" vertical="center"/>
    </xf>
    <xf numFmtId="8" fontId="72" fillId="0" borderId="14" xfId="16" applyNumberFormat="1" applyFont="1" applyFill="1" applyBorder="1" applyAlignment="1">
      <alignment horizontal="right" vertical="center"/>
    </xf>
    <xf numFmtId="8" fontId="72" fillId="0" borderId="10" xfId="16" quotePrefix="1" applyNumberFormat="1" applyFont="1" applyFill="1" applyBorder="1" applyAlignment="1">
      <alignment horizontal="right" vertical="center"/>
    </xf>
    <xf numFmtId="0" fontId="72" fillId="0" borderId="10" xfId="0" applyFont="1" applyBorder="1" applyAlignment="1">
      <alignment horizontal="right" vertical="center"/>
    </xf>
    <xf numFmtId="0" fontId="72" fillId="11" borderId="10" xfId="0" applyFont="1" applyFill="1" applyBorder="1" applyAlignment="1">
      <alignment horizontal="left" vertical="center"/>
    </xf>
    <xf numFmtId="49" fontId="72" fillId="11" borderId="10" xfId="0" applyNumberFormat="1" applyFont="1" applyFill="1" applyBorder="1" applyAlignment="1">
      <alignment horizontal="center" vertical="center"/>
    </xf>
    <xf numFmtId="0" fontId="72" fillId="11" borderId="10" xfId="0" applyFont="1" applyFill="1" applyBorder="1" applyAlignment="1">
      <alignment horizontal="left" vertical="center" wrapText="1"/>
    </xf>
    <xf numFmtId="0" fontId="72" fillId="11" borderId="10" xfId="0" applyFont="1" applyFill="1" applyBorder="1" applyAlignment="1">
      <alignment horizontal="center" vertical="center"/>
    </xf>
    <xf numFmtId="49" fontId="72" fillId="11" borderId="10" xfId="16" applyNumberFormat="1" applyFont="1" applyFill="1" applyBorder="1" applyAlignment="1">
      <alignment horizontal="left" vertical="center"/>
    </xf>
    <xf numFmtId="49" fontId="72" fillId="11" borderId="10" xfId="0" applyNumberFormat="1" applyFont="1" applyFill="1" applyBorder="1" applyAlignment="1">
      <alignment horizontal="left" vertical="center" wrapText="1"/>
    </xf>
    <xf numFmtId="49" fontId="72" fillId="2" borderId="15" xfId="0" applyNumberFormat="1" applyFont="1" applyFill="1" applyBorder="1" applyAlignment="1">
      <alignment vertical="center"/>
    </xf>
    <xf numFmtId="49" fontId="72" fillId="2" borderId="16" xfId="0" applyNumberFormat="1" applyFont="1" applyFill="1" applyBorder="1" applyAlignment="1">
      <alignment vertical="center"/>
    </xf>
    <xf numFmtId="0" fontId="77" fillId="0" borderId="10" xfId="0" applyFont="1" applyBorder="1" applyAlignment="1">
      <alignment horizontal="center" vertical="center"/>
    </xf>
    <xf numFmtId="0" fontId="72" fillId="0" borderId="10" xfId="16" applyNumberFormat="1" applyFont="1" applyFill="1" applyBorder="1" applyAlignment="1">
      <alignment horizontal="left" vertical="center"/>
    </xf>
    <xf numFmtId="165" fontId="72" fillId="2" borderId="14" xfId="0" applyNumberFormat="1" applyFont="1" applyFill="1" applyBorder="1" applyAlignment="1">
      <alignment vertical="center"/>
    </xf>
    <xf numFmtId="165" fontId="72" fillId="2" borderId="15" xfId="0" applyNumberFormat="1" applyFont="1" applyFill="1" applyBorder="1" applyAlignment="1">
      <alignment vertical="center"/>
    </xf>
    <xf numFmtId="165" fontId="72" fillId="2" borderId="16" xfId="0" applyNumberFormat="1" applyFont="1" applyFill="1" applyBorder="1" applyAlignment="1">
      <alignment vertical="center"/>
    </xf>
    <xf numFmtId="0" fontId="56" fillId="5" borderId="10" xfId="0" applyFont="1" applyFill="1" applyBorder="1" applyAlignment="1">
      <alignment horizontal="right" vertical="center" wrapText="1" readingOrder="1"/>
    </xf>
    <xf numFmtId="49" fontId="56" fillId="5" borderId="10" xfId="0" applyNumberFormat="1" applyFont="1" applyFill="1" applyBorder="1" applyAlignment="1">
      <alignment horizontal="center" vertical="center" wrapText="1" readingOrder="1"/>
    </xf>
    <xf numFmtId="0" fontId="56" fillId="5" borderId="10" xfId="0" applyFont="1" applyFill="1" applyBorder="1" applyAlignment="1">
      <alignment horizontal="center" vertical="center" wrapText="1" readingOrder="1"/>
    </xf>
    <xf numFmtId="49" fontId="72" fillId="8" borderId="10" xfId="0" applyNumberFormat="1" applyFont="1" applyFill="1" applyBorder="1" applyAlignment="1">
      <alignment horizontal="center" vertical="center"/>
    </xf>
    <xf numFmtId="165" fontId="44" fillId="0" borderId="10" xfId="0" applyNumberFormat="1" applyFont="1" applyBorder="1" applyAlignment="1">
      <alignment horizontal="right" vertical="center" wrapText="1"/>
    </xf>
    <xf numFmtId="169" fontId="72" fillId="0" borderId="10" xfId="0" applyNumberFormat="1" applyFont="1" applyBorder="1" applyAlignment="1">
      <alignment horizontal="right" vertical="center"/>
    </xf>
    <xf numFmtId="169" fontId="72" fillId="0" borderId="10" xfId="16" applyNumberFormat="1" applyFont="1" applyFill="1" applyBorder="1" applyAlignment="1">
      <alignment horizontal="right" vertical="center"/>
    </xf>
    <xf numFmtId="165" fontId="72" fillId="2" borderId="10" xfId="0" applyNumberFormat="1" applyFont="1" applyFill="1" applyBorder="1" applyAlignment="1">
      <alignment horizontal="right" vertical="center"/>
    </xf>
    <xf numFmtId="169" fontId="72" fillId="2" borderId="10" xfId="0" applyNumberFormat="1" applyFont="1" applyFill="1" applyBorder="1" applyAlignment="1">
      <alignment horizontal="right" vertical="center"/>
    </xf>
    <xf numFmtId="49" fontId="72" fillId="2" borderId="10" xfId="0" applyNumberFormat="1" applyFont="1" applyFill="1" applyBorder="1" applyAlignment="1">
      <alignment horizontal="left" vertical="center" wrapText="1"/>
    </xf>
    <xf numFmtId="0" fontId="68" fillId="0" borderId="10" xfId="15" applyBorder="1" applyAlignment="1">
      <alignment horizontal="left" vertical="center" wrapText="1"/>
    </xf>
    <xf numFmtId="0" fontId="72" fillId="0" borderId="10" xfId="0" quotePrefix="1" applyFont="1" applyBorder="1" applyAlignment="1">
      <alignment horizontal="center" vertical="center"/>
    </xf>
    <xf numFmtId="0" fontId="72" fillId="12" borderId="10" xfId="0" applyFont="1" applyFill="1" applyBorder="1" applyAlignment="1">
      <alignment horizontal="left" vertical="center"/>
    </xf>
    <xf numFmtId="0" fontId="72" fillId="12" borderId="10" xfId="0" applyFont="1" applyFill="1" applyBorder="1" applyAlignment="1">
      <alignment horizontal="left" vertical="center" wrapText="1"/>
    </xf>
    <xf numFmtId="49" fontId="72" fillId="12" borderId="10" xfId="0" applyNumberFormat="1" applyFont="1" applyFill="1" applyBorder="1" applyAlignment="1">
      <alignment horizontal="center" vertical="center"/>
    </xf>
    <xf numFmtId="0" fontId="72" fillId="12" borderId="10" xfId="0" applyFont="1" applyFill="1" applyBorder="1" applyAlignment="1">
      <alignment horizontal="center" vertical="center"/>
    </xf>
    <xf numFmtId="8" fontId="72" fillId="12" borderId="10" xfId="16" applyNumberFormat="1" applyFont="1" applyFill="1" applyBorder="1" applyAlignment="1">
      <alignment horizontal="right" vertical="center"/>
    </xf>
    <xf numFmtId="49" fontId="72" fillId="12" borderId="10" xfId="16" applyNumberFormat="1" applyFont="1" applyFill="1" applyBorder="1" applyAlignment="1">
      <alignment vertical="center"/>
    </xf>
    <xf numFmtId="49" fontId="72" fillId="12" borderId="10" xfId="0" applyNumberFormat="1" applyFont="1" applyFill="1" applyBorder="1" applyAlignment="1">
      <alignment horizontal="left" vertical="center" wrapText="1"/>
    </xf>
    <xf numFmtId="0" fontId="52" fillId="0" borderId="10" xfId="13" applyBorder="1" applyAlignment="1">
      <alignment wrapText="1"/>
    </xf>
    <xf numFmtId="0" fontId="52" fillId="0" borderId="17" xfId="13" applyBorder="1" applyAlignment="1">
      <alignment wrapText="1"/>
    </xf>
    <xf numFmtId="8" fontId="72" fillId="0" borderId="10" xfId="16" applyNumberFormat="1" applyFont="1" applyBorder="1" applyAlignment="1">
      <alignment horizontal="right" vertical="center"/>
    </xf>
    <xf numFmtId="0" fontId="72" fillId="13" borderId="10" xfId="0" applyFont="1" applyFill="1" applyBorder="1" applyAlignment="1">
      <alignment horizontal="left" vertical="center"/>
    </xf>
    <xf numFmtId="0" fontId="72" fillId="13" borderId="10" xfId="0" applyFont="1" applyFill="1" applyBorder="1" applyAlignment="1">
      <alignment horizontal="left" vertical="center" wrapText="1"/>
    </xf>
    <xf numFmtId="49" fontId="72" fillId="13" borderId="10" xfId="0" applyNumberFormat="1" applyFont="1" applyFill="1" applyBorder="1" applyAlignment="1">
      <alignment horizontal="center" vertical="center"/>
    </xf>
    <xf numFmtId="0" fontId="72" fillId="13" borderId="10" xfId="0" applyFont="1" applyFill="1" applyBorder="1" applyAlignment="1">
      <alignment horizontal="center" vertical="center"/>
    </xf>
    <xf numFmtId="8" fontId="72" fillId="13" borderId="10" xfId="16" applyNumberFormat="1" applyFont="1" applyFill="1" applyBorder="1" applyAlignment="1">
      <alignment horizontal="right" vertical="center"/>
    </xf>
    <xf numFmtId="49" fontId="72" fillId="13" borderId="10" xfId="16" applyNumberFormat="1" applyFont="1" applyFill="1" applyBorder="1" applyAlignment="1">
      <alignment vertical="center"/>
    </xf>
    <xf numFmtId="49" fontId="72" fillId="13" borderId="10" xfId="0" applyNumberFormat="1" applyFont="1" applyFill="1" applyBorder="1" applyAlignment="1">
      <alignment horizontal="left" vertical="center" wrapText="1"/>
    </xf>
    <xf numFmtId="49" fontId="72" fillId="0" borderId="10" xfId="16" applyNumberFormat="1" applyFont="1" applyBorder="1" applyAlignment="1">
      <alignment horizontal="left" vertical="center"/>
    </xf>
    <xf numFmtId="49" fontId="72" fillId="0" borderId="10" xfId="16" applyNumberFormat="1" applyFont="1" applyFill="1" applyBorder="1" applyAlignment="1">
      <alignment vertical="center" wrapText="1"/>
    </xf>
    <xf numFmtId="17" fontId="71" fillId="4" borderId="10" xfId="0" applyNumberFormat="1" applyFont="1" applyFill="1" applyBorder="1" applyAlignment="1">
      <alignment horizontal="left" vertical="center" wrapText="1" readingOrder="1"/>
    </xf>
    <xf numFmtId="0" fontId="80" fillId="7" borderId="10" xfId="0" applyFont="1" applyFill="1" applyBorder="1" applyAlignment="1">
      <alignment horizontal="center" vertical="center" wrapText="1" readingOrder="1"/>
    </xf>
    <xf numFmtId="0" fontId="72" fillId="0" borderId="18" xfId="0" applyFont="1" applyBorder="1"/>
    <xf numFmtId="0" fontId="72" fillId="0" borderId="19" xfId="0" applyFont="1" applyBorder="1"/>
    <xf numFmtId="0" fontId="72" fillId="0" borderId="19" xfId="0" applyFont="1" applyBorder="1" applyAlignment="1">
      <alignment wrapText="1"/>
    </xf>
    <xf numFmtId="49" fontId="52" fillId="0" borderId="10" xfId="13" applyNumberFormat="1" applyBorder="1" applyAlignment="1">
      <alignment horizontal="left" vertical="center" wrapText="1"/>
    </xf>
    <xf numFmtId="0" fontId="52" fillId="9" borderId="10" xfId="13" applyFill="1" applyBorder="1" applyAlignment="1">
      <alignment horizontal="left" vertical="center" wrapText="1"/>
    </xf>
    <xf numFmtId="0" fontId="52" fillId="0" borderId="10" xfId="13" applyBorder="1" applyAlignment="1">
      <alignment horizontal="center" vertical="center"/>
    </xf>
    <xf numFmtId="0" fontId="52" fillId="12" borderId="10" xfId="13" applyFill="1" applyBorder="1" applyAlignment="1">
      <alignment horizontal="left" vertical="center" wrapText="1"/>
    </xf>
    <xf numFmtId="0" fontId="52" fillId="0" borderId="0" xfId="13" applyAlignment="1"/>
    <xf numFmtId="0" fontId="81" fillId="4" borderId="0" xfId="0" applyFont="1" applyFill="1"/>
    <xf numFmtId="0" fontId="81" fillId="0" borderId="0" xfId="0" applyFont="1"/>
    <xf numFmtId="0" fontId="82" fillId="0" borderId="0" xfId="0" applyFont="1"/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6" fontId="0" fillId="0" borderId="10" xfId="0" applyNumberFormat="1" applyBorder="1" applyAlignment="1">
      <alignment horizontal="left" vertical="center" wrapText="1"/>
    </xf>
    <xf numFmtId="6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8" fontId="0" fillId="0" borderId="10" xfId="0" applyNumberFormat="1" applyBorder="1" applyAlignment="1">
      <alignment horizontal="left" vertical="center" wrapText="1"/>
    </xf>
    <xf numFmtId="8" fontId="0" fillId="0" borderId="10" xfId="0" applyNumberFormat="1" applyBorder="1" applyAlignment="1">
      <alignment horizontal="left" vertical="center"/>
    </xf>
    <xf numFmtId="8" fontId="0" fillId="0" borderId="11" xfId="0" applyNumberFormat="1" applyBorder="1" applyAlignment="1">
      <alignment horizontal="left" vertical="center" wrapText="1"/>
    </xf>
    <xf numFmtId="8" fontId="0" fillId="0" borderId="11" xfId="0" applyNumberFormat="1" applyBorder="1" applyAlignment="1">
      <alignment horizontal="left" vertical="center"/>
    </xf>
    <xf numFmtId="0" fontId="42" fillId="0" borderId="11" xfId="0" applyFont="1" applyBorder="1" applyAlignment="1">
      <alignment vertical="center" wrapText="1"/>
    </xf>
    <xf numFmtId="8" fontId="0" fillId="0" borderId="11" xfId="0" applyNumberFormat="1" applyBorder="1" applyAlignment="1">
      <alignment horizontal="center" vertical="center" wrapText="1"/>
    </xf>
    <xf numFmtId="8" fontId="0" fillId="0" borderId="11" xfId="0" applyNumberFormat="1" applyBorder="1" applyAlignment="1">
      <alignment horizontal="center" vertical="center"/>
    </xf>
    <xf numFmtId="0" fontId="52" fillId="0" borderId="11" xfId="13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19" fillId="2" borderId="1" xfId="1" applyFont="1" applyFill="1" applyBorder="1" applyAlignment="1">
      <alignment horizontal="center" vertical="center"/>
    </xf>
    <xf numFmtId="0" fontId="72" fillId="0" borderId="19" xfId="0" applyFont="1" applyBorder="1" applyAlignment="1">
      <alignment horizontal="center" vertical="center"/>
    </xf>
  </cellXfs>
  <cellStyles count="19">
    <cellStyle name="Hyperlink" xfId="13" xr:uid="{97192FED-C1B7-4070-93DD-4BC29A6507F0}"/>
    <cellStyle name="Hyperlink 2" xfId="18" xr:uid="{CBB87177-FBA9-4F97-957A-4C74F62F15EF}"/>
    <cellStyle name="Normal 2" xfId="2" xr:uid="{00000000-0005-0000-0000-000000000000}"/>
    <cellStyle name="Normal 3" xfId="3" xr:uid="{00000000-0005-0000-0000-000001000000}"/>
    <cellStyle name="一般" xfId="0" builtinId="0"/>
    <cellStyle name="一般 10" xfId="14" xr:uid="{AB05D6C4-F72F-441F-9C3E-ED157D78F89E}"/>
    <cellStyle name="一般 11" xfId="17" xr:uid="{08A91DF4-7C32-4608-A87A-3DAD131079EB}"/>
    <cellStyle name="一般 2" xfId="1" xr:uid="{00000000-0005-0000-0000-000003000000}"/>
    <cellStyle name="一般 2 2" xfId="5" xr:uid="{81B8AD57-70E8-40AF-9918-69067546A7A0}"/>
    <cellStyle name="一般 3" xfId="4" xr:uid="{BA47511E-DCB4-4531-B176-8230C9C1C933}"/>
    <cellStyle name="一般 4" xfId="6" xr:uid="{A079DCD5-8782-4EEC-9423-91B6F40AEE61}"/>
    <cellStyle name="一般 5" xfId="7" xr:uid="{A3CC3C1B-620F-4865-B127-18DB5AF28EE4}"/>
    <cellStyle name="一般 6" xfId="8" xr:uid="{DFA48BAC-3716-4171-B0C3-AFA87D1B3D88}"/>
    <cellStyle name="一般 7" xfId="9" xr:uid="{9B484AEB-8F6E-4CA1-AAF0-6FCCAA9F287A}"/>
    <cellStyle name="一般 8" xfId="11" xr:uid="{A5E0F4D7-3938-4EE0-BE4C-5247072C7B92}"/>
    <cellStyle name="一般 9" xfId="12" xr:uid="{E3D60163-1E70-4A1B-899F-AC2384193332}"/>
    <cellStyle name="貨幣" xfId="16" builtinId="4"/>
    <cellStyle name="超連結" xfId="15" builtinId="8"/>
    <cellStyle name="超連結 2" xfId="10" xr:uid="{141E63A3-958A-4CB5-BE2F-742DBD46C35D}"/>
  </cellStyles>
  <dxfs count="172"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70" formatCode="yyyy/m/d"/>
    </dxf>
    <dxf>
      <numFmt numFmtId="170" formatCode="yyyy/m/d"/>
    </dxf>
    <dxf>
      <numFmt numFmtId="170" formatCode="yyyy/m/d"/>
    </dxf>
    <dxf>
      <alignment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70" formatCode="yyyy/m/d"/>
    </dxf>
    <dxf>
      <numFmt numFmtId="170" formatCode="yyyy/m/d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1.xml"/><Relationship Id="rId40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>
  <Task id="{02F24563-FA97-466A-9A43-44463950E8C4}">
    <Anchor>
      <Comment id="{92101282-9095-4259-ADE3-708657BA8187}"/>
    </Anchor>
    <History>
      <Event time="2026-03-31T03:28:50.74" id="{4705E0BE-795D-4045-BAFF-F202B0972515}">
        <Attribution userId="S::00595283@cathaybk.com.tw::0df60346-8496-4811-8915-6bba35c1d2ab" userName="連昱睿 DK" userProvider="AD"/>
        <Anchor>
          <Comment id="{92101282-9095-4259-ADE3-708657BA8187}"/>
        </Anchor>
        <Create/>
      </Event>
      <Event time="2026-03-31T03:28:50.74" id="{83248B26-9576-48B6-BA6D-AB3FFC8F29B2}">
        <Attribution userId="S::00595283@cathaybk.com.tw::0df60346-8496-4811-8915-6bba35c1d2ab" userName="連昱睿 DK" userProvider="AD"/>
        <Anchor>
          <Comment id="{92101282-9095-4259-ADE3-708657BA8187}"/>
        </Anchor>
        <Assign userId="S::00595283@cathaybk.com.tw::0df60346-8496-4811-8915-6bba35c1d2ab" userName="連昱睿 DK" userProvider="AD"/>
      </Event>
      <Event time="2026-03-31T03:28:50.74" id="{111B158A-AD15-4F36-8FC1-011FCC876647}">
        <Attribution userId="S::00595283@cathaybk.com.tw::0df60346-8496-4811-8915-6bba35c1d2ab" userName="連昱睿 DK" userProvider="AD"/>
        <Anchor>
          <Comment id="{92101282-9095-4259-ADE3-708657BA8187}"/>
        </Anchor>
        <SetTitle title="@連昱睿 DK 4/1 完成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v-amitag/AppData/Local/Microsoft/Windows/INetCache/Content.Outlook/E7GK5VPE/RisksIssuesList%20from%20SDM%20v2.xlsm" TargetMode="External"/><Relationship Id="rId1" Type="http://schemas.openxmlformats.org/officeDocument/2006/relationships/externalLinkPath" Target="/Users/v-amitag/AppData/Local/Microsoft/Windows/INetCache/Content.Outlook/E7GK5VPE/RisksIssuesList%20from%20SDM%20v2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inspothuva/Desktop/Files/RisksIssuesList.xlsm" TargetMode="External"/><Relationship Id="rId1" Type="http://schemas.openxmlformats.org/officeDocument/2006/relationships/externalLinkPath" Target="/Users/inspothuva/Desktop/Files/RisksIssuesLis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crosoftapc.sharepoint.com/Users/vifunk/OneDrive%20-%20Microsoft/P-ZS/ZS%20Action%20Items%20Lo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Project Info"/>
      <sheetName val="Dashboard"/>
      <sheetName val="Risk Management"/>
      <sheetName val="Issue Management"/>
      <sheetName val="Raw Data"/>
      <sheetName val="ReferenceData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Project Info"/>
      <sheetName val="Dashboard"/>
      <sheetName val="Risk Management"/>
      <sheetName val="Issue Management"/>
      <sheetName val="Raw Data"/>
      <sheetName val="ReferenceData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on Items"/>
      <sheetName val="Ref"/>
    </sheetNames>
    <sheetDataSet>
      <sheetData sheetId="0"/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連昱睿 DK" id="{068F799A-BCE5-497E-AE45-27B64D8D8E8D}" userId="00595283@cathaybk.com.tw" providerId="PeoplePicker"/>
  <person displayName="連昱睿 DK" id="{4683CBF3-646C-4EEB-9C59-7FF4CE47A85C}" userId="S::00595283@cathaybk.com.tw::0df60346-8496-4811-8915-6bba35c1d2ab" providerId="AD"/>
</personList>
</file>

<file path=xl/pivotCache/_rels/pivotCacheDefinition1.xml.rels><?xml version="1.0" encoding="UTF-8" standalone="yes"?>
<Relationships xmlns="http://schemas.openxmlformats.org/package/2006/relationships"><Relationship Id="rId3" Type="http://schemas.microsoft.com/office/2019/04/relationships/externalLinkLongPath" Target="file:///\\Pfdepnas48\&#38642;&#31471;&#26550;&#27083;&#30332;&#23637;&#37096;\!_%5b&#37096;&#36039;&#26009;%5d_&#38642;&#31471;&#31574;&#30053;&#25512;&#21205;\02_&#25033;&#29992;&#31995;&#32113;&#19978;&#38642;\%5b2024%20CUB_&#19978;&#38642;&#35336;&#30059;&#25033;&#29992;&#31995;&#32113;&#28165;&#21934;&#26280;SaaS&#26381;&#21209;&#25511;&#31649;&#34920;.xlsx%5d_&#38642;&#31471;&#31574;&#30053;&#25512;&#21205;\02_&#25033;&#29992;&#31995;&#32113;&#19978;&#38642;\%5b2024%20CUB_&#19978;&#38642;&#35336;&#30059;&#25033;&#29992;&#31995;&#32113;&#28165;&#21934;&#26280;SaaS&#26381;&#21209;&#25511;&#31649;&#34920;.xlsx%5d_&#38642;&#31471;&#31574;&#30053;&#25512;&#21205;\02_&#25033;&#29992;&#31995;&#32113;&#19978;&#38642;\%5b2024%20CUB_&#19978;&#38642;&#35336;&#30059;&#25033;&#29992;&#31995;&#32113;&#28165;&#21934;&#26280;SaaS&#26381;&#21209;&#25511;&#31649;&#34920;.xlsx%5d_&#38642;&#31471;&#31574;&#30053;&#25512;&#21205;\02_&#25033;&#29992;&#31995;&#32113;&#19978;&#38642;\2024%20CUB_&#19978;&#38642;&#35336;&#30059;&#25033;&#29992;&#31995;&#32113;&#28165;&#21934;&#26280;SaaS&#26381;&#21209;&#25511;&#31649;&#34920;.xlsx?F4AE313F" TargetMode="External"/><Relationship Id="rId2" Type="http://schemas.openxmlformats.org/officeDocument/2006/relationships/externalLinkPath" Target="file:///\\F4AE313F\2024%20CUB_&#19978;&#38642;&#35336;&#30059;&#25033;&#29992;&#31995;&#32113;&#28165;&#21934;&#26280;SaaS&#26381;&#21209;&#25511;&#31649;&#34920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527.659748611113" createdVersion="8" refreshedVersion="8" minRefreshableVersion="3" recordCount="44" xr:uid="{00000000-000A-0000-FFFF-FFFF02000000}">
  <cacheSource type="worksheet">
    <worksheetSource name="表格3_2710" r:id="rId2"/>
  </cacheSource>
  <cacheFields count="25">
    <cacheField name="No" numFmtId="0">
      <sharedItems containsSemiMixedTypes="0" containsString="0" containsNumber="1" containsInteger="1" minValue="1" maxValue="41"/>
    </cacheField>
    <cacheField name="AP_ID" numFmtId="0">
      <sharedItems containsBlank="1" containsMixedTypes="1" containsNumber="1" containsInteger="1" minValue="2301" maxValue="2409"/>
    </cacheField>
    <cacheField name="系統名稱" numFmtId="0">
      <sharedItems/>
    </cacheField>
    <cacheField name="上雲範圍" numFmtId="0">
      <sharedItems containsBlank="1"/>
    </cacheField>
    <cacheField name="單位" numFmtId="0">
      <sharedItems containsBlank="1"/>
    </cacheField>
    <cacheField name="AP Owner / PM" numFmtId="0">
      <sharedItems containsBlank="1"/>
    </cacheField>
    <cacheField name="SA" numFmtId="0">
      <sharedItems containsBlank="1"/>
    </cacheField>
    <cacheField name="PM" numFmtId="0">
      <sharedItems containsBlank="1"/>
    </cacheField>
    <cacheField name="板塊" numFmtId="0">
      <sharedItems count="8">
        <s v="資訊"/>
        <s v="數位"/>
        <s v="Infra"/>
        <s v="海外"/>
        <s v="數據"/>
        <s v="OA"/>
        <s v="AI"/>
        <s v="Infa" u="1"/>
      </sharedItems>
    </cacheField>
    <cacheField name="戰情室列管" numFmtId="0">
      <sharedItems/>
    </cacheField>
    <cacheField name="Domain Map" numFmtId="0">
      <sharedItems containsBlank="1"/>
    </cacheField>
    <cacheField name="上雲模式" numFmtId="0">
      <sharedItems containsBlank="1"/>
    </cacheField>
    <cacheField name="Cathay 6R" numFmtId="0">
      <sharedItems containsNonDate="0" containsString="0" containsBlank="1"/>
    </cacheField>
    <cacheField name="狀態" numFmtId="0">
      <sharedItems containsBlank="1"/>
    </cacheField>
    <cacheField name="RYG Status" numFmtId="0">
      <sharedItems containsBlank="1"/>
    </cacheField>
    <cacheField name="階段" numFmtId="0">
      <sharedItems containsBlank="1" count="16">
        <s v="4. CAB1"/>
        <s v="6. Prod"/>
        <s v="Closed"/>
        <s v="Not Started "/>
        <s v="5. CAB2"/>
        <s v="3. EAB"/>
        <m/>
        <s v="2. Planning"/>
        <s v="1. Pre-Planning"/>
        <s v="-" u="1"/>
        <s v="CAB1" u="1"/>
        <s v="Prod" u="1"/>
        <s v="CAB2" u="1"/>
        <s v="EAB" u="1"/>
        <s v="Pre-Planning" u="1"/>
        <s v="Planning" u="1"/>
      </sharedItems>
    </cacheField>
    <cacheField name="委外審核" numFmtId="0">
      <sharedItems containsBlank="1"/>
    </cacheField>
    <cacheField name="PMO 開始列管時間" numFmtId="0">
      <sharedItems containsNonDate="0" containsDate="1" containsString="0" containsBlank="1" minDate="2024-01-01T00:00:00" maxDate="2024-06-04T00:00:00"/>
    </cacheField>
    <cacheField name="PMO 開始結束時間" numFmtId="0">
      <sharedItems containsNonDate="0" containsDate="1" containsString="0" containsBlank="1" minDate="2024-03-01T00:00:00" maxDate="2024-06-02T00:00:00"/>
    </cacheField>
    <cacheField name="專案啟動時間" numFmtId="0">
      <sharedItems containsNonDate="0" containsDate="1" containsString="0" containsBlank="1" minDate="2022-10-01T00:00:00" maxDate="2024-01-02T00:00:00"/>
    </cacheField>
    <cacheField name="系統預計上線時間" numFmtId="0">
      <sharedItems containsNonDate="0" containsDate="1" containsBlank="1" containsMixedTypes="1" minDate="2023-05-01T00:00:00" maxDate="2024-03-02T00:00:00"/>
    </cacheField>
    <cacheField name="系統實際上線時間" numFmtId="0">
      <sharedItems containsDate="1" containsBlank="1" containsMixedTypes="1" minDate="2024-01-26T00:00:00" maxDate="2024-03-23T00:00:00"/>
    </cacheField>
    <cacheField name="雲端環境" numFmtId="0">
      <sharedItems containsBlank="1"/>
    </cacheField>
    <cacheField name="備註" numFmtId="0">
      <sharedItems containsBlank="1"/>
    </cacheField>
    <cacheField name="執行年度" numFmtId="0">
      <sharedItems containsString="0" containsBlank="1" containsNumber="1" containsInteger="1" minValue="2023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1"/>
    <n v="2301"/>
    <s v="ePOS 信用卡網路收單系統 Phase 2"/>
    <s v="P2"/>
    <s v="個人金融資訊部"/>
    <s v="白陽明"/>
    <s v="陳宇鋒​_x000a_楊椉淵​"/>
    <s v="劉音余"/>
    <x v="0"/>
    <s v="Y"/>
    <s v="應用/服務"/>
    <s v="Cloud Migration"/>
    <m/>
    <s v="規劃中"/>
    <s v="●​"/>
    <x v="0"/>
    <m/>
    <d v="2024-01-01T00:00:00"/>
    <m/>
    <d v="2022-11-01T00:00:00"/>
    <m/>
    <m/>
    <s v="GCP"/>
    <s v="APID重複, 是否列入2024_x000a_P1: CDN_x000a_P2: PoC, DB可否上雲？報會範圍"/>
    <n v="2024"/>
  </r>
  <r>
    <n v="2"/>
    <n v="2302"/>
    <s v="信用卡特店風險管理系統_x000a_"/>
    <m/>
    <s v="個人金融資訊部"/>
    <s v="劉怡廷​_x000a_李江浚"/>
    <s v="江啓霖"/>
    <s v="劉音余"/>
    <x v="0"/>
    <s v="Y"/>
    <s v="應用/服務"/>
    <s v="Cloud Migration"/>
    <m/>
    <s v="實作中"/>
    <s v="●​"/>
    <x v="1"/>
    <m/>
    <d v="2024-01-01T00:00:00"/>
    <d v="2024-05-01T00:00:00"/>
    <d v="2022-11-01T00:00:00"/>
    <d v="2024-01-01T00:00:00"/>
    <d v="2024-01-26T00:00:00"/>
    <s v="GCP"/>
    <s v="2024.01上線"/>
    <n v="2024"/>
  </r>
  <r>
    <n v="3"/>
    <n v="2303"/>
    <s v="法金授信ESG系統_x000a_"/>
    <m/>
    <s v="核心資訊部"/>
    <s v="林渭智"/>
    <s v="楊椉淵​_x000a_蘇敏昕​"/>
    <s v="劉音余"/>
    <x v="0"/>
    <s v="Y"/>
    <s v="應用/服務"/>
    <s v="Cloud Native"/>
    <m/>
    <s v="測試中"/>
    <s v="●"/>
    <x v="2"/>
    <m/>
    <d v="2024-01-01T00:00:00"/>
    <d v="2024-03-01T00:00:00"/>
    <d v="2022-11-01T00:00:00"/>
    <s v="2024/01_x000a_2024/03?"/>
    <d v="2024-03-01T00:00:00"/>
    <s v="GCP"/>
    <s v="02/22長官會議裁示，此系統回到地端處理，未來模型成熟後再視情況部署上雲，本案移出戰情室列管範疇。"/>
    <n v="2024"/>
  </r>
  <r>
    <n v="4"/>
    <n v="2304"/>
    <s v="信用卡紅利票券平台"/>
    <m/>
    <s v="個人金融資訊部"/>
    <s v="陳美子​_x000a_何政軒​"/>
    <s v="楊椉淵​_x000a_林柏宏"/>
    <s v="Tracy&gt;音余"/>
    <x v="0"/>
    <s v="Y"/>
    <s v="應用/服務"/>
    <s v="Cloud Native"/>
    <m/>
    <s v="測試中"/>
    <s v="●​"/>
    <x v="0"/>
    <m/>
    <d v="2024-01-01T00:00:00"/>
    <m/>
    <d v="2022-11-01T00:00:00"/>
    <m/>
    <m/>
    <s v="GCP"/>
    <s v="MR APP dependency (已有既有的Roadmap)"/>
    <n v="2024"/>
  </r>
  <r>
    <n v="5"/>
    <m/>
    <s v="官網線上櫃檯P2"/>
    <s v="P1-2, P2"/>
    <s v="數位銀行科技部"/>
    <s v="黃詩哲"/>
    <m/>
    <s v="Tracy&gt;數位陳俊安"/>
    <x v="1"/>
    <s v="Y"/>
    <s v="應用/服務"/>
    <s v="Cloud Migration"/>
    <m/>
    <s v="實作中"/>
    <s v="●​"/>
    <x v="0"/>
    <m/>
    <d v="2024-01-01T00:00:00"/>
    <m/>
    <d v="2022-10-01T00:00:00"/>
    <d v="2023-05-01T00:00:00"/>
    <m/>
    <s v="GCP"/>
    <s v="2023: P1-1上線, _x000a_2024: 官網線上櫃檯 (P1-2&amp;P2)_x000a_完成Phase 2 UAT 建置（考量雲端入口架構目前正在規劃跟測試，尚無法確認標準做法）"/>
    <n v="2024"/>
  </r>
  <r>
    <n v="6"/>
    <m/>
    <s v="ＭＭＢ緊急公告上雲"/>
    <s v="緊急公告"/>
    <s v="數位銀行科技部"/>
    <s v="楊少杰"/>
    <m/>
    <m/>
    <x v="1"/>
    <s v="N"/>
    <m/>
    <m/>
    <m/>
    <m/>
    <m/>
    <x v="3"/>
    <m/>
    <d v="2024-01-01T00:00:00"/>
    <m/>
    <m/>
    <m/>
    <m/>
    <m/>
    <s v="2024 Q1 重啟"/>
    <n v="2024"/>
  </r>
  <r>
    <n v="7"/>
    <m/>
    <s v="CMS官網-AEM上雲"/>
    <m/>
    <s v="數位銀行科技部"/>
    <s v="周紹文"/>
    <m/>
    <m/>
    <x v="1"/>
    <s v="Y"/>
    <m/>
    <m/>
    <m/>
    <s v="測試中"/>
    <s v="●​"/>
    <x v="4"/>
    <m/>
    <d v="2024-01-01T00:00:00"/>
    <m/>
    <m/>
    <m/>
    <m/>
    <m/>
    <m/>
    <n v="2024"/>
  </r>
  <r>
    <n v="8"/>
    <m/>
    <s v="Line BC rebuild"/>
    <m/>
    <s v="數位銀行科技部"/>
    <s v="盧湞/盧奕丞"/>
    <m/>
    <m/>
    <x v="1"/>
    <s v="Y"/>
    <m/>
    <m/>
    <m/>
    <m/>
    <s v="●​"/>
    <x v="0"/>
    <m/>
    <d v="2024-01-01T00:00:00"/>
    <m/>
    <d v="2024-01-01T00:00:00"/>
    <m/>
    <m/>
    <m/>
    <m/>
    <n v="2024"/>
  </r>
  <r>
    <n v="9"/>
    <m/>
    <s v="自動雲"/>
    <m/>
    <s v="數位銀行科技部"/>
    <s v="蔡啟章"/>
    <m/>
    <m/>
    <x v="1"/>
    <s v="Y"/>
    <m/>
    <m/>
    <m/>
    <m/>
    <s v="●​"/>
    <x v="5"/>
    <m/>
    <d v="2024-01-01T00:00:00"/>
    <m/>
    <d v="2024-01-01T00:00:00"/>
    <m/>
    <m/>
    <m/>
    <m/>
    <n v="2024"/>
  </r>
  <r>
    <n v="10"/>
    <m/>
    <s v="個人化MongoDB PoC"/>
    <m/>
    <s v="數位銀行科技部"/>
    <s v="黃靜柔"/>
    <m/>
    <m/>
    <x v="1"/>
    <s v="N"/>
    <m/>
    <m/>
    <m/>
    <m/>
    <m/>
    <x v="6"/>
    <m/>
    <d v="2024-01-01T00:00:00"/>
    <m/>
    <m/>
    <m/>
    <m/>
    <m/>
    <m/>
    <n v="2024"/>
  </r>
  <r>
    <n v="11"/>
    <n v="2401"/>
    <s v="法金CRM_x000a_"/>
    <m/>
    <m/>
    <s v="黃婌嫃"/>
    <s v="待定"/>
    <m/>
    <x v="0"/>
    <s v="Y"/>
    <m/>
    <m/>
    <m/>
    <m/>
    <s v="●​"/>
    <x v="5"/>
    <m/>
    <d v="2024-01-01T00:00:00"/>
    <m/>
    <m/>
    <m/>
    <m/>
    <m/>
    <m/>
    <n v="2024"/>
  </r>
  <r>
    <n v="12"/>
    <n v="2402"/>
    <s v="Avaloq私銀平台升級"/>
    <m/>
    <m/>
    <s v="黃正興"/>
    <s v="待定"/>
    <m/>
    <x v="0"/>
    <s v="N"/>
    <m/>
    <m/>
    <m/>
    <m/>
    <m/>
    <x v="2"/>
    <m/>
    <d v="2024-01-01T00:00:00"/>
    <d v="2024-05-01T00:00:00"/>
    <m/>
    <m/>
    <m/>
    <m/>
    <s v="Pre-Planning"/>
    <n v="2024"/>
  </r>
  <r>
    <n v="13"/>
    <n v="2403"/>
    <s v="iHave 員工服務平台"/>
    <m/>
    <m/>
    <s v="許惠文"/>
    <s v="楊椉淵​"/>
    <m/>
    <x v="0"/>
    <s v="Y"/>
    <m/>
    <m/>
    <m/>
    <m/>
    <s v="●​"/>
    <x v="0"/>
    <m/>
    <d v="2024-01-01T00:00:00"/>
    <m/>
    <m/>
    <m/>
    <m/>
    <m/>
    <m/>
    <m/>
  </r>
  <r>
    <n v="14"/>
    <m/>
    <s v="授信整合平台"/>
    <m/>
    <m/>
    <m/>
    <m/>
    <m/>
    <x v="0"/>
    <s v="N"/>
    <m/>
    <m/>
    <m/>
    <m/>
    <m/>
    <x v="6"/>
    <m/>
    <m/>
    <m/>
    <m/>
    <m/>
    <m/>
    <m/>
    <m/>
    <m/>
  </r>
  <r>
    <n v="15"/>
    <n v="2404"/>
    <s v="BIP分行整合平台"/>
    <m/>
    <m/>
    <s v="陳詩承 / 高祖謙"/>
    <s v="劉俊言​"/>
    <m/>
    <x v="0"/>
    <s v="Y"/>
    <m/>
    <m/>
    <m/>
    <m/>
    <s v="●​"/>
    <x v="5"/>
    <m/>
    <d v="2024-01-01T00:00:00"/>
    <m/>
    <m/>
    <m/>
    <m/>
    <m/>
    <m/>
    <m/>
  </r>
  <r>
    <n v="13"/>
    <m/>
    <s v="AWS Landing Zone"/>
    <m/>
    <m/>
    <m/>
    <m/>
    <m/>
    <x v="2"/>
    <s v="N"/>
    <m/>
    <m/>
    <m/>
    <m/>
    <m/>
    <x v="6"/>
    <m/>
    <m/>
    <m/>
    <m/>
    <m/>
    <m/>
    <m/>
    <s v="infra 不列入"/>
    <n v="2024"/>
  </r>
  <r>
    <n v="14"/>
    <m/>
    <s v="越南消金專案"/>
    <s v="網銀"/>
    <m/>
    <s v="鄧翔心​"/>
    <s v="朱守敬​"/>
    <m/>
    <x v="3"/>
    <s v="Y"/>
    <m/>
    <m/>
    <m/>
    <m/>
    <s v="●​"/>
    <x v="1"/>
    <m/>
    <m/>
    <d v="2024-05-01T00:00:00"/>
    <m/>
    <d v="2024-03-01T00:00:00"/>
    <d v="2024-03-22T00:00:00"/>
    <m/>
    <s v="2023已上線6套"/>
    <n v="2024"/>
  </r>
  <r>
    <n v="15"/>
    <m/>
    <s v="海外推播平台"/>
    <m/>
    <m/>
    <s v="張寬寬"/>
    <s v="楊永成​"/>
    <m/>
    <x v="3"/>
    <s v="Y"/>
    <m/>
    <m/>
    <m/>
    <m/>
    <s v="●​"/>
    <x v="1"/>
    <m/>
    <m/>
    <m/>
    <m/>
    <m/>
    <s v="Q1"/>
    <m/>
    <m/>
    <n v="2024"/>
  </r>
  <r>
    <n v="16"/>
    <m/>
    <s v="海外一站式跨售運營平台"/>
    <m/>
    <m/>
    <s v="姚映竹​"/>
    <s v="何崧宇​"/>
    <m/>
    <x v="3"/>
    <s v="Y"/>
    <m/>
    <m/>
    <m/>
    <m/>
    <s v="●​"/>
    <x v="1"/>
    <m/>
    <m/>
    <m/>
    <m/>
    <m/>
    <s v="Q1"/>
    <m/>
    <m/>
    <n v="2024"/>
  </r>
  <r>
    <n v="17"/>
    <m/>
    <s v="柬埔寨數據分析平台"/>
    <m/>
    <m/>
    <s v="盧冠妤​"/>
    <s v="許偉泓​"/>
    <m/>
    <x v="3"/>
    <s v="Y"/>
    <m/>
    <m/>
    <m/>
    <m/>
    <s v="●​"/>
    <x v="7"/>
    <m/>
    <m/>
    <m/>
    <m/>
    <m/>
    <m/>
    <m/>
    <m/>
    <m/>
  </r>
  <r>
    <n v="18"/>
    <m/>
    <s v="柬埔寨 mBanking 上雲專案"/>
    <m/>
    <m/>
    <s v="章芷僑"/>
    <s v="何崧宇​"/>
    <m/>
    <x v="3"/>
    <s v="Y"/>
    <m/>
    <m/>
    <m/>
    <m/>
    <s v="●​"/>
    <x v="7"/>
    <m/>
    <m/>
    <m/>
    <m/>
    <m/>
    <m/>
    <m/>
    <m/>
    <n v="2024"/>
  </r>
  <r>
    <n v="19"/>
    <m/>
    <s v="AWS 數據上雲"/>
    <s v="Q3雲端湖倉平台建置完成  _x000a_Q4 My客群標籤產製上線"/>
    <s v="數位銀行科技部"/>
    <s v="盛婕妃/林武慶"/>
    <m/>
    <m/>
    <x v="4"/>
    <s v="Y"/>
    <m/>
    <m/>
    <m/>
    <m/>
    <s v="●​"/>
    <x v="5"/>
    <m/>
    <m/>
    <m/>
    <m/>
    <m/>
    <m/>
    <s v="AWS"/>
    <m/>
    <n v="2024"/>
  </r>
  <r>
    <n v="20"/>
    <m/>
    <s v="OA"/>
    <s v="Entraid + 100人Exchange Online Pilot 導入"/>
    <m/>
    <s v="白佩倖"/>
    <m/>
    <m/>
    <x v="5"/>
    <s v="Y"/>
    <m/>
    <m/>
    <m/>
    <m/>
    <m/>
    <x v="4"/>
    <m/>
    <m/>
    <m/>
    <m/>
    <m/>
    <m/>
    <s v="Azure"/>
    <m/>
    <n v="2024"/>
  </r>
  <r>
    <n v="21"/>
    <n v="2409"/>
    <s v="Doc AI​_x000a_（影像辨識平台上雲）"/>
    <m/>
    <s v="數據暨人工智慧發展部"/>
    <s v="劉謹嘉"/>
    <s v="楊椉淵​"/>
    <m/>
    <x v="0"/>
    <s v="Y"/>
    <m/>
    <m/>
    <m/>
    <m/>
    <s v="●​"/>
    <x v="0"/>
    <s v="Pass"/>
    <d v="2024-01-01T00:00:00"/>
    <m/>
    <m/>
    <m/>
    <m/>
    <m/>
    <s v="移到資訊板塊"/>
    <n v="2024"/>
  </r>
  <r>
    <n v="22"/>
    <m/>
    <s v="GCP STT PoC"/>
    <m/>
    <s v="數據暨人工智慧發展部"/>
    <s v="王永祥"/>
    <m/>
    <m/>
    <x v="6"/>
    <s v="N"/>
    <m/>
    <m/>
    <m/>
    <m/>
    <m/>
    <x v="6"/>
    <m/>
    <d v="2024-01-01T00:00:00"/>
    <d v="2024-03-01T00:00:00"/>
    <m/>
    <m/>
    <m/>
    <s v="GCP"/>
    <m/>
    <n v="2024"/>
  </r>
  <r>
    <n v="23"/>
    <m/>
    <s v="生成式諮服平台-國泰智多星"/>
    <m/>
    <s v="策略暨資訊戰情科 "/>
    <s v="劉岦崱"/>
    <s v="楊椉淵​"/>
    <m/>
    <x v="6"/>
    <s v="Y"/>
    <m/>
    <m/>
    <m/>
    <m/>
    <s v="●​"/>
    <x v="0"/>
    <m/>
    <d v="2024-01-01T00:00:00"/>
    <m/>
    <m/>
    <m/>
    <m/>
    <m/>
    <m/>
    <n v="2024"/>
  </r>
  <r>
    <n v="24"/>
    <m/>
    <s v="Github Copilot 前端開發導入"/>
    <m/>
    <s v="數據暨人工智慧發展部"/>
    <s v="劉岦崱"/>
    <s v="TBD"/>
    <m/>
    <x v="6"/>
    <s v="Y"/>
    <m/>
    <m/>
    <m/>
    <m/>
    <s v="●​"/>
    <x v="8"/>
    <m/>
    <d v="2024-01-01T00:00:00"/>
    <m/>
    <m/>
    <m/>
    <m/>
    <m/>
    <m/>
    <n v="2024"/>
  </r>
  <r>
    <n v="25"/>
    <m/>
    <s v="官網線上櫃檯P1-1"/>
    <s v="P1-1"/>
    <s v="數位銀行科技部"/>
    <s v="黃詩哲"/>
    <m/>
    <m/>
    <x v="1"/>
    <s v="Y"/>
    <m/>
    <m/>
    <m/>
    <s v="已上線"/>
    <s v="●"/>
    <x v="1"/>
    <m/>
    <d v="2024-01-01T00:00:00"/>
    <m/>
    <m/>
    <m/>
    <m/>
    <m/>
    <s v="20240103: 確認使用雲端ＤＮＳ_x000a_20240115: 確認作法"/>
    <n v="2023"/>
  </r>
  <r>
    <n v="26"/>
    <m/>
    <s v="集團BCM2.0"/>
    <m/>
    <m/>
    <s v="林武慶"/>
    <m/>
    <m/>
    <x v="2"/>
    <s v="N"/>
    <m/>
    <m/>
    <m/>
    <m/>
    <m/>
    <x v="6"/>
    <m/>
    <m/>
    <m/>
    <m/>
    <m/>
    <m/>
    <m/>
    <s v="infra 不列入"/>
    <m/>
  </r>
  <r>
    <n v="27"/>
    <m/>
    <s v="VMWare Cloud"/>
    <m/>
    <m/>
    <s v="黃義富"/>
    <m/>
    <m/>
    <x v="2"/>
    <s v="N"/>
    <m/>
    <m/>
    <m/>
    <m/>
    <m/>
    <x v="6"/>
    <m/>
    <m/>
    <m/>
    <m/>
    <m/>
    <m/>
    <m/>
    <s v="infra 不列入"/>
    <m/>
  </r>
  <r>
    <n v="28"/>
    <m/>
    <s v="SIT環境建置評估方案"/>
    <m/>
    <m/>
    <s v="劉家妤"/>
    <m/>
    <m/>
    <x v="2"/>
    <s v="N"/>
    <m/>
    <m/>
    <m/>
    <m/>
    <m/>
    <x v="6"/>
    <m/>
    <m/>
    <m/>
    <m/>
    <m/>
    <m/>
    <m/>
    <s v="infra 不列入"/>
    <m/>
  </r>
  <r>
    <n v="29"/>
    <m/>
    <s v="資安防護及基礎架構建制"/>
    <m/>
    <m/>
    <m/>
    <m/>
    <m/>
    <x v="2"/>
    <s v="N"/>
    <m/>
    <m/>
    <m/>
    <m/>
    <m/>
    <x v="6"/>
    <m/>
    <m/>
    <m/>
    <m/>
    <m/>
    <m/>
    <m/>
    <s v="infra 不列入"/>
    <m/>
  </r>
  <r>
    <n v="30"/>
    <n v="2405"/>
    <s v="全球企業網路銀行 3.0​_x000a_（GMB）​"/>
    <m/>
    <m/>
    <s v="羅正倫 / 陳皓鈺​"/>
    <s v="陳宇鋒​"/>
    <s v=" 陳皓鈺​"/>
    <x v="0"/>
    <s v="N"/>
    <m/>
    <m/>
    <m/>
    <m/>
    <s v="●​"/>
    <x v="2"/>
    <m/>
    <d v="2024-03-01T00:00:00"/>
    <d v="2024-05-01T00:00:00"/>
    <m/>
    <m/>
    <m/>
    <m/>
    <s v="Pre-Planning"/>
    <m/>
  </r>
  <r>
    <n v="31"/>
    <s v="2407​"/>
    <s v="iCare 生活管理平台​"/>
    <m/>
    <m/>
    <s v="原：許惠文_x000a_新：陳嘉賢"/>
    <s v="楊椉淵​"/>
    <m/>
    <x v="0"/>
    <s v="Y"/>
    <m/>
    <m/>
    <m/>
    <m/>
    <s v="●​"/>
    <x v="0"/>
    <m/>
    <d v="2024-04-01T00:00:00"/>
    <m/>
    <m/>
    <m/>
    <m/>
    <m/>
    <m/>
    <m/>
  </r>
  <r>
    <n v="32"/>
    <s v="2410​"/>
    <s v="雲端AI強化交易監控PoC專案​​"/>
    <m/>
    <m/>
    <s v="涂智皓/王鵬傑​"/>
    <s v="張格誌 / 楊椉淵​"/>
    <m/>
    <x v="0"/>
    <s v="Y"/>
    <m/>
    <m/>
    <m/>
    <m/>
    <s v="●​"/>
    <x v="5"/>
    <s v="N/A"/>
    <d v="2024-04-01T00:00:00"/>
    <m/>
    <m/>
    <m/>
    <m/>
    <m/>
    <m/>
    <m/>
  </r>
  <r>
    <n v="33"/>
    <s v="2406​"/>
    <s v="網路身份識別系統（FIDO）-Phase 1 (VN)​"/>
    <m/>
    <m/>
    <s v="陳美宏 / 陳皓鈺​"/>
    <s v="張格誌​"/>
    <m/>
    <x v="0"/>
    <s v="Y"/>
    <m/>
    <m/>
    <m/>
    <m/>
    <s v="●​"/>
    <x v="2"/>
    <m/>
    <d v="2024-04-01T00:00:00"/>
    <d v="2024-06-01T00:00:00"/>
    <m/>
    <m/>
    <m/>
    <m/>
    <s v="Pre-Planning"/>
    <m/>
  </r>
  <r>
    <n v="34"/>
    <s v="2408​"/>
    <s v="IT整合管理系統（BMC）SaaS​"/>
    <m/>
    <m/>
    <s v="許惠文​"/>
    <s v="劉俊言 / 外部廠商​"/>
    <m/>
    <x v="0"/>
    <s v="Y"/>
    <m/>
    <m/>
    <m/>
    <m/>
    <s v="●​"/>
    <x v="5"/>
    <m/>
    <d v="2024-04-01T00:00:00"/>
    <m/>
    <m/>
    <m/>
    <m/>
    <m/>
    <m/>
    <m/>
  </r>
  <r>
    <n v="35"/>
    <m/>
    <s v="AWS-Device Farm ​"/>
    <m/>
    <m/>
    <s v="郭芳甄​"/>
    <m/>
    <m/>
    <x v="1"/>
    <s v="Y"/>
    <m/>
    <m/>
    <m/>
    <m/>
    <s v="●​"/>
    <x v="8"/>
    <m/>
    <d v="2024-05-01T00:00:00"/>
    <m/>
    <m/>
    <m/>
    <m/>
    <m/>
    <m/>
    <m/>
  </r>
  <r>
    <n v="36"/>
    <m/>
    <s v="監控APP系統"/>
    <m/>
    <m/>
    <s v="鄭雯文/李振維"/>
    <m/>
    <m/>
    <x v="1"/>
    <s v="Y"/>
    <m/>
    <m/>
    <m/>
    <m/>
    <s v="●​"/>
    <x v="0"/>
    <m/>
    <d v="2024-05-01T00:00:00"/>
    <m/>
    <m/>
    <m/>
    <m/>
    <m/>
    <m/>
    <m/>
  </r>
  <r>
    <n v="37"/>
    <m/>
    <s v="CUBE APP-緊急公告上雲"/>
    <m/>
    <m/>
    <s v="楊少杰"/>
    <m/>
    <m/>
    <x v="1"/>
    <s v="Y"/>
    <m/>
    <m/>
    <m/>
    <m/>
    <s v="●​"/>
    <x v="0"/>
    <m/>
    <d v="2024-06-01T00:00:00"/>
    <m/>
    <m/>
    <m/>
    <m/>
    <m/>
    <m/>
    <m/>
  </r>
  <r>
    <n v="38"/>
    <m/>
    <s v="官網線上櫃檯-信用卡正+附"/>
    <m/>
    <m/>
    <s v="林金進"/>
    <m/>
    <m/>
    <x v="1"/>
    <s v="Y"/>
    <m/>
    <m/>
    <m/>
    <m/>
    <s v="●​"/>
    <x v="7"/>
    <m/>
    <d v="2024-06-01T00:00:00"/>
    <m/>
    <m/>
    <m/>
    <m/>
    <m/>
    <m/>
    <m/>
  </r>
  <r>
    <n v="39"/>
    <m/>
    <s v="Gemini Code Assist PoC"/>
    <m/>
    <m/>
    <s v="AP owner：吳欣昌(科技應用發展部科技研發科)_x000a_PM：余軒誼(雲端架構發展部雲端治理規劃科)"/>
    <s v="楊椉淵"/>
    <m/>
    <x v="6"/>
    <s v="Y"/>
    <m/>
    <m/>
    <m/>
    <m/>
    <s v="●​"/>
    <x v="8"/>
    <m/>
    <d v="2024-06-02T00:00:00"/>
    <m/>
    <m/>
    <m/>
    <m/>
    <m/>
    <m/>
    <m/>
  </r>
  <r>
    <n v="40"/>
    <m/>
    <s v="越南客戶服務系統 Worldfone"/>
    <m/>
    <m/>
    <m/>
    <m/>
    <m/>
    <x v="3"/>
    <s v="Y"/>
    <m/>
    <m/>
    <m/>
    <m/>
    <s v="●​"/>
    <x v="5"/>
    <m/>
    <d v="2024-06-03T00:00:00"/>
    <m/>
    <m/>
    <m/>
    <m/>
    <m/>
    <m/>
    <m/>
  </r>
  <r>
    <n v="41"/>
    <m/>
    <s v="海外數據雲端分析平台 POC"/>
    <m/>
    <m/>
    <m/>
    <m/>
    <m/>
    <x v="3"/>
    <s v="Y"/>
    <m/>
    <m/>
    <m/>
    <m/>
    <s v="●​"/>
    <x v="7"/>
    <m/>
    <d v="2024-06-01T00:00:0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樞紐分析表1" cacheId="8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54:H62" firstHeaderRow="1" firstDataRow="2" firstDataCol="1"/>
  <pivotFields count="25"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ascending">
      <items count="9">
        <item x="6"/>
        <item h="1" m="1" x="7"/>
        <item h="1" x="2"/>
        <item x="5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 sortType="ascending">
      <items count="17">
        <item h="1" m="1" x="9"/>
        <item x="8"/>
        <item x="7"/>
        <item x="5"/>
        <item x="0"/>
        <item x="4"/>
        <item x="1"/>
        <item m="1" x="10"/>
        <item m="1" x="12"/>
        <item h="1" x="2"/>
        <item m="1" x="13"/>
        <item h="1" x="3"/>
        <item h="1" m="1" x="15"/>
        <item h="1" m="1" x="14"/>
        <item h="1" m="1" x="11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3"/>
    </i>
    <i>
      <x v="4"/>
    </i>
    <i>
      <x v="5"/>
    </i>
    <i>
      <x v="6"/>
    </i>
    <i>
      <x v="7"/>
    </i>
    <i t="grand">
      <x/>
    </i>
  </rowItems>
  <colFields count="1">
    <field x="15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計數 - 系統名稱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表格3" displayName="表格3" ref="A1:U34" totalsRowShown="0" headerRowDxfId="167" dataDxfId="166">
  <autoFilter ref="A1:U34" xr:uid="{00000000-0009-0000-0100-000003000000}">
    <filterColumn colId="7">
      <filters>
        <filter val="資訊"/>
      </filters>
    </filterColumn>
    <filterColumn colId="8">
      <filters>
        <filter val="Y"/>
      </filters>
    </filterColumn>
  </autoFilter>
  <tableColumns count="21">
    <tableColumn id="1" xr3:uid="{00000000-0010-0000-0000-000001000000}" name="No" dataDxfId="165"/>
    <tableColumn id="20" xr3:uid="{00000000-0010-0000-0000-000014000000}" name="AP_ID" dataDxfId="164"/>
    <tableColumn id="2" xr3:uid="{00000000-0010-0000-0000-000002000000}" name="系統名稱" dataDxfId="163"/>
    <tableColumn id="3" xr3:uid="{00000000-0010-0000-0000-000003000000}" name="上雲範圍" dataDxfId="162"/>
    <tableColumn id="4" xr3:uid="{00000000-0010-0000-0000-000004000000}" name="單位" dataDxfId="161"/>
    <tableColumn id="5" xr3:uid="{00000000-0010-0000-0000-000005000000}" name="AP Owner" dataDxfId="160"/>
    <tableColumn id="6" xr3:uid="{00000000-0010-0000-0000-000006000000}" name="PM" dataDxfId="159"/>
    <tableColumn id="7" xr3:uid="{00000000-0010-0000-0000-000007000000}" name="板塊" dataDxfId="158"/>
    <tableColumn id="8" xr3:uid="{00000000-0010-0000-0000-000008000000}" name="戰情室列管" dataDxfId="157"/>
    <tableColumn id="9" xr3:uid="{00000000-0010-0000-0000-000009000000}" name="Domain Map" dataDxfId="156"/>
    <tableColumn id="10" xr3:uid="{00000000-0010-0000-0000-00000A000000}" name="上雲模式" dataDxfId="155"/>
    <tableColumn id="11" xr3:uid="{00000000-0010-0000-0000-00000B000000}" name="Cathay 6R" dataDxfId="154"/>
    <tableColumn id="12" xr3:uid="{00000000-0010-0000-0000-00000C000000}" name="狀態" dataDxfId="153"/>
    <tableColumn id="19" xr3:uid="{00000000-0010-0000-0000-000013000000}" name="RYG Status" dataDxfId="152"/>
    <tableColumn id="21" xr3:uid="{00000000-0010-0000-0000-000015000000}" name="階段" dataDxfId="151"/>
    <tableColumn id="13" xr3:uid="{00000000-0010-0000-0000-00000D000000}" name="專案啟動時間" dataDxfId="150"/>
    <tableColumn id="14" xr3:uid="{00000000-0010-0000-0000-00000E000000}" name="系統預計上線時間" dataDxfId="149"/>
    <tableColumn id="15" xr3:uid="{00000000-0010-0000-0000-00000F000000}" name="系統實際上線時間" dataDxfId="148"/>
    <tableColumn id="16" xr3:uid="{00000000-0010-0000-0000-000010000000}" name="雲端環境" dataDxfId="147"/>
    <tableColumn id="17" xr3:uid="{00000000-0010-0000-0000-000011000000}" name="備註" dataDxfId="146"/>
    <tableColumn id="18" xr3:uid="{00000000-0010-0000-0000-000012000000}" name="執行年度" dataDxfId="145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表格3_2" displayName="表格3_2" ref="A1:X35" totalsRowShown="0" headerRowDxfId="138" dataDxfId="137">
  <autoFilter ref="A1:X35" xr:uid="{00000000-0009-0000-0100-000001000000}">
    <filterColumn colId="9">
      <filters>
        <filter val="Y"/>
      </filters>
    </filterColumn>
    <filterColumn colId="15">
      <filters>
        <filter val="Not Started"/>
      </filters>
    </filterColumn>
  </autoFilter>
  <tableColumns count="24">
    <tableColumn id="1" xr3:uid="{00000000-0010-0000-0100-000001000000}" name="No" dataDxfId="136"/>
    <tableColumn id="20" xr3:uid="{00000000-0010-0000-0100-000014000000}" name="AP_ID" dataDxfId="135"/>
    <tableColumn id="2" xr3:uid="{00000000-0010-0000-0100-000002000000}" name="系統名稱" dataDxfId="134"/>
    <tableColumn id="3" xr3:uid="{00000000-0010-0000-0100-000003000000}" name="上雲範圍" dataDxfId="133"/>
    <tableColumn id="4" xr3:uid="{00000000-0010-0000-0100-000004000000}" name="單位" dataDxfId="132"/>
    <tableColumn id="5" xr3:uid="{00000000-0010-0000-0100-000005000000}" name="AP Owner / PM" dataDxfId="131"/>
    <tableColumn id="23" xr3:uid="{00000000-0010-0000-0100-000017000000}" name="SA" dataDxfId="130"/>
    <tableColumn id="6" xr3:uid="{00000000-0010-0000-0100-000006000000}" name="PM" dataDxfId="129"/>
    <tableColumn id="7" xr3:uid="{00000000-0010-0000-0100-000007000000}" name="板塊" dataDxfId="128"/>
    <tableColumn id="8" xr3:uid="{00000000-0010-0000-0100-000008000000}" name="戰情室列管" dataDxfId="127"/>
    <tableColumn id="9" xr3:uid="{00000000-0010-0000-0100-000009000000}" name="Domain Map" dataDxfId="126"/>
    <tableColumn id="10" xr3:uid="{00000000-0010-0000-0100-00000A000000}" name="上雲模式" dataDxfId="125"/>
    <tableColumn id="11" xr3:uid="{00000000-0010-0000-0100-00000B000000}" name="Cathay 6R" dataDxfId="124"/>
    <tableColumn id="12" xr3:uid="{00000000-0010-0000-0100-00000C000000}" name="狀態" dataDxfId="123"/>
    <tableColumn id="19" xr3:uid="{00000000-0010-0000-0100-000013000000}" name="RYG Status" dataDxfId="122"/>
    <tableColumn id="21" xr3:uid="{00000000-0010-0000-0100-000015000000}" name="階段" dataDxfId="121"/>
    <tableColumn id="24" xr3:uid="{00000000-0010-0000-0100-000018000000}" name="PMO 開始列管時間" dataDxfId="120"/>
    <tableColumn id="25" xr3:uid="{00000000-0010-0000-0100-000019000000}" name="PMO 開始結束時間" dataDxfId="119"/>
    <tableColumn id="13" xr3:uid="{00000000-0010-0000-0100-00000D000000}" name="專案啟動時間" dataDxfId="118"/>
    <tableColumn id="14" xr3:uid="{00000000-0010-0000-0100-00000E000000}" name="系統預計上線時間" dataDxfId="117"/>
    <tableColumn id="15" xr3:uid="{00000000-0010-0000-0100-00000F000000}" name="系統實際上線時間" dataDxfId="116"/>
    <tableColumn id="16" xr3:uid="{00000000-0010-0000-0100-000010000000}" name="雲端環境" dataDxfId="115"/>
    <tableColumn id="17" xr3:uid="{00000000-0010-0000-0100-000011000000}" name="備註" dataDxfId="114"/>
    <tableColumn id="18" xr3:uid="{00000000-0010-0000-0100-000012000000}" name="執行年度" dataDxfId="113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表格3_27" displayName="表格3_27" ref="A1:X40" totalsRowShown="0" headerRowDxfId="104" dataDxfId="103">
  <autoFilter ref="A1:X40" xr:uid="{00000000-0009-0000-0100-000006000000}">
    <filterColumn colId="9">
      <filters>
        <filter val="Y"/>
      </filters>
    </filterColumn>
  </autoFilter>
  <tableColumns count="24">
    <tableColumn id="1" xr3:uid="{00000000-0010-0000-0200-000001000000}" name="No" dataDxfId="102"/>
    <tableColumn id="20" xr3:uid="{00000000-0010-0000-0200-000014000000}" name="AP_ID" dataDxfId="101"/>
    <tableColumn id="2" xr3:uid="{00000000-0010-0000-0200-000002000000}" name="系統名稱" dataDxfId="100"/>
    <tableColumn id="3" xr3:uid="{00000000-0010-0000-0200-000003000000}" name="上雲範圍" dataDxfId="99"/>
    <tableColumn id="4" xr3:uid="{00000000-0010-0000-0200-000004000000}" name="單位" dataDxfId="98"/>
    <tableColumn id="5" xr3:uid="{00000000-0010-0000-0200-000005000000}" name="AP Owner / PM" dataDxfId="97"/>
    <tableColumn id="23" xr3:uid="{00000000-0010-0000-0200-000017000000}" name="SA" dataDxfId="96"/>
    <tableColumn id="6" xr3:uid="{00000000-0010-0000-0200-000006000000}" name="PM" dataDxfId="95"/>
    <tableColumn id="7" xr3:uid="{00000000-0010-0000-0200-000007000000}" name="板塊" dataDxfId="94"/>
    <tableColumn id="8" xr3:uid="{00000000-0010-0000-0200-000008000000}" name="戰情室列管" dataDxfId="93"/>
    <tableColumn id="9" xr3:uid="{00000000-0010-0000-0200-000009000000}" name="Domain Map" dataDxfId="92"/>
    <tableColumn id="10" xr3:uid="{00000000-0010-0000-0200-00000A000000}" name="上雲模式" dataDxfId="91"/>
    <tableColumn id="11" xr3:uid="{00000000-0010-0000-0200-00000B000000}" name="Cathay 6R" dataDxfId="90"/>
    <tableColumn id="12" xr3:uid="{00000000-0010-0000-0200-00000C000000}" name="狀態" dataDxfId="89"/>
    <tableColumn id="19" xr3:uid="{00000000-0010-0000-0200-000013000000}" name="RYG Status" dataDxfId="88"/>
    <tableColumn id="21" xr3:uid="{00000000-0010-0000-0200-000015000000}" name="階段" dataDxfId="87"/>
    <tableColumn id="24" xr3:uid="{00000000-0010-0000-0200-000018000000}" name="PMO 開始列管時間" dataDxfId="86"/>
    <tableColumn id="25" xr3:uid="{00000000-0010-0000-0200-000019000000}" name="PMO 開始結束時間" dataDxfId="85"/>
    <tableColumn id="13" xr3:uid="{00000000-0010-0000-0200-00000D000000}" name="專案啟動時間" dataDxfId="84"/>
    <tableColumn id="14" xr3:uid="{00000000-0010-0000-0200-00000E000000}" name="系統預計上線時間" dataDxfId="83"/>
    <tableColumn id="15" xr3:uid="{00000000-0010-0000-0200-00000F000000}" name="系統實際上線時間" dataDxfId="82"/>
    <tableColumn id="16" xr3:uid="{00000000-0010-0000-0200-000010000000}" name="雲端環境" dataDxfId="81"/>
    <tableColumn id="17" xr3:uid="{00000000-0010-0000-0200-000011000000}" name="備註" dataDxfId="80"/>
    <tableColumn id="18" xr3:uid="{00000000-0010-0000-0200-000012000000}" name="執行年度" dataDxfId="79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表格3_2710" displayName="表格3_2710" ref="A1:Y45" totalsRowShown="0" headerRowDxfId="64" dataDxfId="63">
  <autoFilter ref="A1:Y45" xr:uid="{00000000-0009-0000-0100-000009000000}">
    <filterColumn colId="8">
      <filters>
        <filter val="數位"/>
      </filters>
    </filterColumn>
  </autoFilter>
  <tableColumns count="25">
    <tableColumn id="1" xr3:uid="{00000000-0010-0000-0300-000001000000}" name="No" dataDxfId="62"/>
    <tableColumn id="20" xr3:uid="{00000000-0010-0000-0300-000014000000}" name="AP_ID" dataDxfId="61"/>
    <tableColumn id="2" xr3:uid="{00000000-0010-0000-0300-000002000000}" name="系統名稱" dataDxfId="60"/>
    <tableColumn id="3" xr3:uid="{00000000-0010-0000-0300-000003000000}" name="上雲範圍" dataDxfId="59"/>
    <tableColumn id="4" xr3:uid="{00000000-0010-0000-0300-000004000000}" name="單位" dataDxfId="58"/>
    <tableColumn id="5" xr3:uid="{00000000-0010-0000-0300-000005000000}" name="AP Owner / PM" dataDxfId="57"/>
    <tableColumn id="23" xr3:uid="{00000000-0010-0000-0300-000017000000}" name="SA" dataDxfId="56"/>
    <tableColumn id="6" xr3:uid="{00000000-0010-0000-0300-000006000000}" name="PM" dataDxfId="55"/>
    <tableColumn id="7" xr3:uid="{00000000-0010-0000-0300-000007000000}" name="板塊" dataDxfId="54"/>
    <tableColumn id="8" xr3:uid="{00000000-0010-0000-0300-000008000000}" name="戰情室列管" dataDxfId="53"/>
    <tableColumn id="9" xr3:uid="{00000000-0010-0000-0300-000009000000}" name="Domain Map" dataDxfId="52"/>
    <tableColumn id="10" xr3:uid="{00000000-0010-0000-0300-00000A000000}" name="上雲模式" dataDxfId="51"/>
    <tableColumn id="11" xr3:uid="{00000000-0010-0000-0300-00000B000000}" name="Cathay 6R" dataDxfId="50"/>
    <tableColumn id="12" xr3:uid="{00000000-0010-0000-0300-00000C000000}" name="狀態" dataDxfId="49"/>
    <tableColumn id="19" xr3:uid="{00000000-0010-0000-0300-000013000000}" name="RYG Status" dataDxfId="48"/>
    <tableColumn id="21" xr3:uid="{00000000-0010-0000-0300-000015000000}" name="階段" dataDxfId="47"/>
    <tableColumn id="26" xr3:uid="{00000000-0010-0000-0300-00001A000000}" name="委外審核"/>
    <tableColumn id="24" xr3:uid="{00000000-0010-0000-0300-000018000000}" name="PMO 開始列管時間" dataDxfId="46"/>
    <tableColumn id="25" xr3:uid="{00000000-0010-0000-0300-000019000000}" name="PMO 開始結束時間" dataDxfId="45"/>
    <tableColumn id="13" xr3:uid="{00000000-0010-0000-0300-00000D000000}" name="專案啟動時間" dataDxfId="44"/>
    <tableColumn id="14" xr3:uid="{00000000-0010-0000-0300-00000E000000}" name="系統預計上線時間" dataDxfId="43"/>
    <tableColumn id="15" xr3:uid="{00000000-0010-0000-0300-00000F000000}" name="系統實際上線時間" dataDxfId="42"/>
    <tableColumn id="16" xr3:uid="{00000000-0010-0000-0300-000010000000}" name="雲端環境" dataDxfId="41"/>
    <tableColumn id="17" xr3:uid="{00000000-0010-0000-0300-000011000000}" name="備註" dataDxfId="40"/>
    <tableColumn id="18" xr3:uid="{00000000-0010-0000-0300-000012000000}" name="執行年度" dataDxfId="39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表格8" displayName="表格8" ref="A1:L6" totalsRowShown="0">
  <autoFilter ref="A1:L6" xr:uid="{00000000-0009-0000-0100-000008000000}"/>
  <tableColumns count="12">
    <tableColumn id="1" xr3:uid="{00000000-0010-0000-0500-000001000000}" name="Action ID_x000a_"/>
    <tableColumn id="4" xr3:uid="{00000000-0010-0000-0500-000004000000}" name="Project"/>
    <tableColumn id="2" xr3:uid="{00000000-0010-0000-0500-000002000000}" name="Title_x000a_"/>
    <tableColumn id="3" xr3:uid="{00000000-0010-0000-0500-000003000000}" name="Description_x000a_"/>
    <tableColumn id="9" xr3:uid="{00000000-0010-0000-0500-000009000000}" name="Status"/>
    <tableColumn id="5" xr3:uid="{00000000-0010-0000-0500-000005000000}" name="Priority_x000a_"/>
    <tableColumn id="6" xr3:uid="{00000000-0010-0000-0500-000006000000}" name="Urgency"/>
    <tableColumn id="10" xr3:uid="{00000000-0010-0000-0500-00000A000000}" name="Owner"/>
    <tableColumn id="7" xr3:uid="{00000000-0010-0000-0500-000007000000}" name="Create Date_x000a_" dataDxfId="38"/>
    <tableColumn id="8" xr3:uid="{00000000-0010-0000-0500-000008000000}" name="Target Date" dataDxfId="37"/>
    <tableColumn id="11" xr3:uid="{00000000-0010-0000-0500-00000B000000}" name="Closed Date"/>
    <tableColumn id="12" xr3:uid="{00000000-0010-0000-0500-00000C000000}" name="Comments (Most Current Comment at the Top)_x000a_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表格10" displayName="表格10" ref="A1:L2" totalsRowShown="0" headerRowDxfId="36">
  <autoFilter ref="A1:L2" xr:uid="{00000000-0009-0000-0100-00000A000000}"/>
  <tableColumns count="12">
    <tableColumn id="1" xr3:uid="{00000000-0010-0000-0600-000001000000}" name="Risk ID"/>
    <tableColumn id="10" xr3:uid="{00000000-0010-0000-0600-00000A000000}" name="Project"/>
    <tableColumn id="11" xr3:uid="{00000000-0010-0000-0600-00000B000000}" name="Title"/>
    <tableColumn id="2" xr3:uid="{00000000-0010-0000-0600-000002000000}" name="Description"/>
    <tableColumn id="3" xr3:uid="{00000000-0010-0000-0600-000003000000}" name="Impact Description &amp; Source​"/>
    <tableColumn id="8" xr3:uid="{00000000-0010-0000-0600-000008000000}" name="Status​"/>
    <tableColumn id="4" xr3:uid="{00000000-0010-0000-0600-000004000000}" name="Owner​"/>
    <tableColumn id="12" xr3:uid="{00000000-0010-0000-0600-00000C000000}" name="Create Date"/>
    <tableColumn id="5" xr3:uid="{00000000-0010-0000-0600-000005000000}" name="Due Date​"/>
    <tableColumn id="6" xr3:uid="{00000000-0010-0000-0600-000006000000}" name="Severity _x000a_[Critical, High, Med, Low]​" dataDxfId="35"/>
    <tableColumn id="7" xr3:uid="{00000000-0010-0000-0600-000007000000}" name="Resolution/Mitigation​"/>
    <tableColumn id="9" xr3:uid="{00000000-0010-0000-0600-000009000000}" name="Actions​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7000000}" name="表格5" displayName="表格5" ref="A1:M4" totalsRowShown="0" dataDxfId="34">
  <autoFilter ref="A1:M4" xr:uid="{00000000-0009-0000-0100-000005000000}"/>
  <tableColumns count="13">
    <tableColumn id="1" xr3:uid="{00000000-0010-0000-0700-000001000000}" name="Issue ID​" dataDxfId="33"/>
    <tableColumn id="12" xr3:uid="{00000000-0010-0000-0700-00000C000000}" name="Project" dataDxfId="32"/>
    <tableColumn id="13" xr3:uid="{00000000-0010-0000-0700-00000D000000}" name="Title" dataDxfId="31"/>
    <tableColumn id="2" xr3:uid="{00000000-0010-0000-0700-000002000000}" name="Description" dataDxfId="30"/>
    <tableColumn id="3" xr3:uid="{00000000-0010-0000-0700-000003000000}" name="Status​" dataDxfId="29"/>
    <tableColumn id="11" xr3:uid="{00000000-0010-0000-0700-00000B000000}" name="Priority" dataDxfId="28"/>
    <tableColumn id="7" xr3:uid="{00000000-0010-0000-0700-000007000000}" name="Owner" dataDxfId="27"/>
    <tableColumn id="4" xr3:uid="{00000000-0010-0000-0700-000004000000}" name="Create Date_x000a_" dataDxfId="26"/>
    <tableColumn id="5" xr3:uid="{00000000-0010-0000-0700-000005000000}" name="Target Date" dataDxfId="25"/>
    <tableColumn id="6" xr3:uid="{00000000-0010-0000-0700-000006000000}" name="Closed_x000a_Date" dataDxfId="24"/>
    <tableColumn id="8" xr3:uid="{00000000-0010-0000-0700-000008000000}" name="Impact" dataDxfId="23"/>
    <tableColumn id="9" xr3:uid="{00000000-0010-0000-0700-000009000000}" name="影響說明" dataDxfId="22"/>
    <tableColumn id="10" xr3:uid="{00000000-0010-0000-0700-00000A000000}" name="解決方法說明" dataDxfId="21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表格11" displayName="表格11" ref="A1:M6" totalsRowShown="0" headerRowDxfId="20">
  <autoFilter ref="A1:M6" xr:uid="{00000000-0009-0000-0100-00000B000000}"/>
  <tableColumns count="13">
    <tableColumn id="1" xr3:uid="{00000000-0010-0000-0800-000001000000}" name="Dependency ID"/>
    <tableColumn id="2" xr3:uid="{00000000-0010-0000-0800-000002000000}" name="Project"/>
    <tableColumn id="3" xr3:uid="{00000000-0010-0000-0800-000003000000}" name="Dependencies"/>
    <tableColumn id="6" xr3:uid="{00000000-0010-0000-0800-000006000000}" name="Description"/>
    <tableColumn id="5" xr3:uid="{00000000-0010-0000-0800-000005000000}" name="Status"/>
    <tableColumn id="7" xr3:uid="{00000000-0010-0000-0800-000007000000}" name="Identified Date" dataDxfId="19"/>
    <tableColumn id="8" xr3:uid="{00000000-0010-0000-0800-000008000000}" name="Ready by"/>
    <tableColumn id="9" xr3:uid="{00000000-0010-0000-0800-000009000000}" name="Target Date" dataDxfId="18"/>
    <tableColumn id="10" xr3:uid="{00000000-0010-0000-0800-00000A000000}" name="Closed Date" dataDxfId="17"/>
    <tableColumn id="11" xr3:uid="{00000000-0010-0000-0800-00000B000000}" name="Owner"/>
    <tableColumn id="12" xr3:uid="{00000000-0010-0000-0800-00000C000000}" name="Priority_x000a_"/>
    <tableColumn id="13" xr3:uid="{00000000-0010-0000-0800-00000D000000}" name="Contingency_x000a_"/>
    <tableColumn id="14" xr3:uid="{00000000-0010-0000-0800-00000E000000}" name="Comments (Most Current Comment at the Top)_x000a_"/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9000000}" name="表格7" displayName="表格7" ref="A1:O2" totalsRowShown="0" headerRowDxfId="16" dataDxfId="15">
  <autoFilter ref="A1:O2" xr:uid="{00000000-0009-0000-0100-000007000000}"/>
  <tableColumns count="15">
    <tableColumn id="1" xr3:uid="{00000000-0010-0000-0900-000001000000}" name="Decision ID​" dataDxfId="14"/>
    <tableColumn id="3" xr3:uid="{00000000-0010-0000-0900-000003000000}" name="Project" dataDxfId="13"/>
    <tableColumn id="15" xr3:uid="{00000000-0010-0000-0900-00000F000000}" name="Title" dataDxfId="12"/>
    <tableColumn id="2" xr3:uid="{00000000-0010-0000-0900-000002000000}" name="Description" dataDxfId="11"/>
    <tableColumn id="6" xr3:uid="{00000000-0010-0000-0900-000006000000}" name="Status​" dataDxfId="10"/>
    <tableColumn id="5" xr3:uid="{00000000-0010-0000-0900-000005000000}" name="Create Date" dataDxfId="9"/>
    <tableColumn id="7" xr3:uid="{00000000-0010-0000-0900-000007000000}" name="Target Date" dataDxfId="8"/>
    <tableColumn id="8" xr3:uid="{00000000-0010-0000-0900-000008000000}" name="Closed Date" dataDxfId="7"/>
    <tableColumn id="9" xr3:uid="{00000000-0010-0000-0900-000009000000}" name="Key Participants​" dataDxfId="6"/>
    <tableColumn id="10" xr3:uid="{00000000-0010-0000-0900-00000A000000}" name="Decision Maker" dataDxfId="5"/>
    <tableColumn id="11" xr3:uid="{00000000-0010-0000-0900-00000B000000}" name="Considered Alternatives_x000a_替代方案" dataDxfId="4"/>
    <tableColumn id="12" xr3:uid="{00000000-0010-0000-0900-00000C000000}" name="Comments" dataDxfId="3"/>
    <tableColumn id="16" xr3:uid="{00000000-0010-0000-0900-000010000000}" name="Action ID" dataDxfId="2"/>
    <tableColumn id="14" xr3:uid="{00000000-0010-0000-0900-00000E000000}" name="Risk/Issue ID" dataDxfId="1"/>
    <tableColumn id="13" xr3:uid="{00000000-0010-0000-0900-00000D000000}" name="Type of Decision​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11" dT="2026-03-31T03:28:50.92" personId="{4683CBF3-646C-4EEB-9C59-7FF4CE47A85C}" id="{92101282-9095-4259-ADE3-708657BA8187}">
    <text>@連昱睿 DK 4/1 完成</text>
    <mentions>
      <mention mentionpersonId="{068F799A-BCE5-497E-AE45-27B64D8D8E8D}" mentionId="{0F92CC50-464F-4B3C-94C3-108D8D7537EB}" startIndex="0" length="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lisa0824@cathaybk.com.tw" TargetMode="External"/><Relationship Id="rId21" Type="http://schemas.openxmlformats.org/officeDocument/2006/relationships/hyperlink" Target="mailto:NT49028@cathaybk.com.tw;NT95756@cathaybk.com.tw;NT92836@cathaybk.com.tw;NT92015@cathaybk.com.tw;veison.wang@cathaybk.com.tw;NT95867@cathaybk.com.tw" TargetMode="External"/><Relationship Id="rId42" Type="http://schemas.openxmlformats.org/officeDocument/2006/relationships/hyperlink" Target="mailto:ds_data@cathaybk.com.tw" TargetMode="External"/><Relationship Id="rId63" Type="http://schemas.openxmlformats.org/officeDocument/2006/relationships/hyperlink" Target="mailto:SEALinkservice@cathaybk.com.tw" TargetMode="External"/><Relationship Id="rId84" Type="http://schemas.openxmlformats.org/officeDocument/2006/relationships/hyperlink" Target="mailto:lisin@cathaybk.com.tw" TargetMode="External"/><Relationship Id="rId138" Type="http://schemas.openxmlformats.org/officeDocument/2006/relationships/hyperlink" Target="mailto:kuotung.tseng@cathaybk.com.tw" TargetMode="External"/><Relationship Id="rId159" Type="http://schemas.openxmlformats.org/officeDocument/2006/relationships/hyperlink" Target="mailto:IQI@cathaybk.com.tw" TargetMode="External"/><Relationship Id="rId107" Type="http://schemas.openxmlformats.org/officeDocument/2006/relationships/hyperlink" Target="mailto:ed56@cathaybk.com.tw" TargetMode="External"/><Relationship Id="rId11" Type="http://schemas.openxmlformats.org/officeDocument/2006/relationships/hyperlink" Target="mailto:NMIPTeam-Card2@cathaybk.com.tw" TargetMode="External"/><Relationship Id="rId32" Type="http://schemas.openxmlformats.org/officeDocument/2006/relationships/hyperlink" Target="mailto:DGTSREAdm@cathaybk.com.tw" TargetMode="External"/><Relationship Id="rId53" Type="http://schemas.openxmlformats.org/officeDocument/2006/relationships/hyperlink" Target="mailto:HQ1080104@cathaybk.com.tw" TargetMode="External"/><Relationship Id="rId74" Type="http://schemas.openxmlformats.org/officeDocument/2006/relationships/hyperlink" Target="mailto:vn_it_ap@vn.cathaybk.com" TargetMode="External"/><Relationship Id="rId128" Type="http://schemas.openxmlformats.org/officeDocument/2006/relationships/hyperlink" Target="mailto:NT5049@cathaybk.com.tw" TargetMode="External"/><Relationship Id="rId149" Type="http://schemas.openxmlformats.org/officeDocument/2006/relationships/hyperlink" Target="mailto:lwj@cathaybk.com.tw" TargetMode="External"/><Relationship Id="rId5" Type="http://schemas.openxmlformats.org/officeDocument/2006/relationships/hyperlink" Target="mailto:IssueTeam1@cathaybk.com.tw" TargetMode="External"/><Relationship Id="rId95" Type="http://schemas.openxmlformats.org/officeDocument/2006/relationships/hyperlink" Target="mailto:ed56@cathaybk.com.tw" TargetMode="External"/><Relationship Id="rId160" Type="http://schemas.openxmlformats.org/officeDocument/2006/relationships/printerSettings" Target="../printerSettings/printerSettings5.bin"/><Relationship Id="rId22" Type="http://schemas.openxmlformats.org/officeDocument/2006/relationships/hyperlink" Target="mailto:SEALinkservice@cathaybk.com.tw" TargetMode="External"/><Relationship Id="rId43" Type="http://schemas.openxmlformats.org/officeDocument/2006/relationships/hyperlink" Target="mailto:ds_data@cathaybk.com.tw" TargetMode="External"/><Relationship Id="rId64" Type="http://schemas.openxmlformats.org/officeDocument/2006/relationships/hyperlink" Target="mailto:DGTCloudgroup@cathaybk.com.tw" TargetMode="External"/><Relationship Id="rId118" Type="http://schemas.openxmlformats.org/officeDocument/2006/relationships/hyperlink" Target="mailto:lisa0824@cathaybk.com.tw" TargetMode="External"/><Relationship Id="rId139" Type="http://schemas.openxmlformats.org/officeDocument/2006/relationships/hyperlink" Target="mailto:Jemi_Huang@cathaybk.com.tw" TargetMode="External"/><Relationship Id="rId85" Type="http://schemas.openxmlformats.org/officeDocument/2006/relationships/hyperlink" Target="mailto:lisin@cathaybk.com.tw" TargetMode="External"/><Relationship Id="rId150" Type="http://schemas.openxmlformats.org/officeDocument/2006/relationships/hyperlink" Target="mailto:vn_it_ap@vn.cathaybk.com" TargetMode="External"/><Relationship Id="rId12" Type="http://schemas.openxmlformats.org/officeDocument/2006/relationships/hyperlink" Target="mailto:OCR@cathaybk.com.tw" TargetMode="External"/><Relationship Id="rId17" Type="http://schemas.openxmlformats.org/officeDocument/2006/relationships/hyperlink" Target="mailto:NT98625@cathaybk.com.tw;%20NT96152@cathaybk.com.tw;%20NT95319@cathaybk.com.tw" TargetMode="External"/><Relationship Id="rId33" Type="http://schemas.openxmlformats.org/officeDocument/2006/relationships/hyperlink" Target="mailto:DGTSREAdm@cathaybk.com.tw" TargetMode="External"/><Relationship Id="rId38" Type="http://schemas.openxmlformats.org/officeDocument/2006/relationships/hyperlink" Target="mailto:dgt_netap@cathaybk.com.tw;dgt_bop_calandar@cathaybk.com.tw" TargetMode="External"/><Relationship Id="rId59" Type="http://schemas.openxmlformats.org/officeDocument/2006/relationships/hyperlink" Target="mailto:IssueTeam2@cathaybk.com.tw" TargetMode="External"/><Relationship Id="rId103" Type="http://schemas.openxmlformats.org/officeDocument/2006/relationships/hyperlink" Target="mailto:ed56@cathaybk.com.tw" TargetMode="External"/><Relationship Id="rId108" Type="http://schemas.openxmlformats.org/officeDocument/2006/relationships/hyperlink" Target="mailto:lisa0824@cathaybk.com.tw" TargetMode="External"/><Relationship Id="rId124" Type="http://schemas.openxmlformats.org/officeDocument/2006/relationships/hyperlink" Target="mailto:DGTCloudgroup@cathaybk.com.tw" TargetMode="External"/><Relationship Id="rId129" Type="http://schemas.openxmlformats.org/officeDocument/2006/relationships/hyperlink" Target="mailto:BIP_Team@cathaybk.com.tw" TargetMode="External"/><Relationship Id="rId54" Type="http://schemas.openxmlformats.org/officeDocument/2006/relationships/hyperlink" Target="mailto:IssueTeam1@cathaybk.com.tw" TargetMode="External"/><Relationship Id="rId70" Type="http://schemas.openxmlformats.org/officeDocument/2006/relationships/hyperlink" Target="mailto:DGTCloudgroup@cathaybk.com.tw" TargetMode="External"/><Relationship Id="rId75" Type="http://schemas.openxmlformats.org/officeDocument/2006/relationships/hyperlink" Target="mailto:GAIA@cathaybk.com.tw" TargetMode="External"/><Relationship Id="rId91" Type="http://schemas.openxmlformats.org/officeDocument/2006/relationships/hyperlink" Target="mailto:whitney@cathaybk.com.tw" TargetMode="External"/><Relationship Id="rId96" Type="http://schemas.openxmlformats.org/officeDocument/2006/relationships/hyperlink" Target="mailto:lisa0824@cathaybk.com.tw" TargetMode="External"/><Relationship Id="rId140" Type="http://schemas.openxmlformats.org/officeDocument/2006/relationships/hyperlink" Target="mailto:KH@cathaybk.com.tw" TargetMode="External"/><Relationship Id="rId145" Type="http://schemas.openxmlformats.org/officeDocument/2006/relationships/hyperlink" Target="mailto:lwj@cathaybk.com.tw" TargetMode="External"/><Relationship Id="rId161" Type="http://schemas.openxmlformats.org/officeDocument/2006/relationships/vmlDrawing" Target="../drawings/vmlDrawing1.vml"/><Relationship Id="rId1" Type="http://schemas.openxmlformats.org/officeDocument/2006/relationships/hyperlink" Target="mailto:MidMipAdmin@cathaybk.com.tw" TargetMode="External"/><Relationship Id="rId6" Type="http://schemas.openxmlformats.org/officeDocument/2006/relationships/hyperlink" Target="mailto:IssueTeam3@cathaybk.com.tw" TargetMode="External"/><Relationship Id="rId23" Type="http://schemas.openxmlformats.org/officeDocument/2006/relationships/hyperlink" Target="mailto:ovslxvndataop@cathaybk.com.tw" TargetMode="External"/><Relationship Id="rId28" Type="http://schemas.openxmlformats.org/officeDocument/2006/relationships/hyperlink" Target="mailto:NT96520@cathaybk.com.tw;NT95733@cathaybk.com.tw" TargetMode="External"/><Relationship Id="rId49" Type="http://schemas.openxmlformats.org/officeDocument/2006/relationships/hyperlink" Target="mailto:NT49028@cathaybk.com.tw;NT95756@cathaybk.com.tw;NT92836@cathaybk.com.tw;NT92015@cathaybk.com.tw;veison.wang@cathaybk.com.tw;NT95867@cathaybk.com.tw" TargetMode="External"/><Relationship Id="rId114" Type="http://schemas.openxmlformats.org/officeDocument/2006/relationships/hyperlink" Target="mailto:lisa0824@cathaybk.com.tw" TargetMode="External"/><Relationship Id="rId119" Type="http://schemas.openxmlformats.org/officeDocument/2006/relationships/hyperlink" Target="mailto:DGTCloudgroup@cathaybk.com.tw" TargetMode="External"/><Relationship Id="rId44" Type="http://schemas.openxmlformats.org/officeDocument/2006/relationships/hyperlink" Target="mailto:ds_data@cathaybk.com.tw" TargetMode="External"/><Relationship Id="rId60" Type="http://schemas.openxmlformats.org/officeDocument/2006/relationships/hyperlink" Target="mailto:CMPT@cathaybk.com.twCMPT@cathaybk.com.tw" TargetMode="External"/><Relationship Id="rId65" Type="http://schemas.openxmlformats.org/officeDocument/2006/relationships/hyperlink" Target="mailto:DGTCloudgroup@cathaybk.com.tw" TargetMode="External"/><Relationship Id="rId81" Type="http://schemas.openxmlformats.org/officeDocument/2006/relationships/hyperlink" Target="mailto:ops-dev@cathaybk.com.tw" TargetMode="External"/><Relationship Id="rId86" Type="http://schemas.openxmlformats.org/officeDocument/2006/relationships/hyperlink" Target="mailto:lisin@cathaybk.com.tw" TargetMode="External"/><Relationship Id="rId130" Type="http://schemas.openxmlformats.org/officeDocument/2006/relationships/hyperlink" Target="mailto:Louisz.Cheng@cathaybk.com.tw" TargetMode="External"/><Relationship Id="rId135" Type="http://schemas.openxmlformats.org/officeDocument/2006/relationships/hyperlink" Target="mailto:APIMadmin@cathaybk.com.tw" TargetMode="External"/><Relationship Id="rId151" Type="http://schemas.openxmlformats.org/officeDocument/2006/relationships/hyperlink" Target="mailto:vn_it_ap@vn.cathaybk.com" TargetMode="External"/><Relationship Id="rId156" Type="http://schemas.openxmlformats.org/officeDocument/2006/relationships/hyperlink" Target="mailto:denchen@cathaybk.com.tw" TargetMode="External"/><Relationship Id="rId13" Type="http://schemas.openxmlformats.org/officeDocument/2006/relationships/hyperlink" Target="mailto:EPOSTeam@cathaybk.com.tw" TargetMode="External"/><Relationship Id="rId18" Type="http://schemas.openxmlformats.org/officeDocument/2006/relationships/hyperlink" Target="mailto:NT89963@cathaybk.com.tw;%20NT96152@cathaybk.com.tw" TargetMode="External"/><Relationship Id="rId39" Type="http://schemas.openxmlformats.org/officeDocument/2006/relationships/hyperlink" Target="mailto:jessie.lin@cathaybk.com.tw,%20nt91447@cathaybk.com.tw,%20nt90999@cathaybk.com.tw,%20nt92861@cathaybk.com.tw" TargetMode="External"/><Relationship Id="rId109" Type="http://schemas.openxmlformats.org/officeDocument/2006/relationships/hyperlink" Target="mailto:ed56@cathaybk.com.tw" TargetMode="External"/><Relationship Id="rId34" Type="http://schemas.openxmlformats.org/officeDocument/2006/relationships/hyperlink" Target="mailto:DGTCloudgroup@cathaybk.com.tw" TargetMode="External"/><Relationship Id="rId50" Type="http://schemas.openxmlformats.org/officeDocument/2006/relationships/hyperlink" Target="mailto:NT49028@cathaybk.com.tw;NT95756@cathaybk.com.tw;NT92836@cathaybk.com.tw;NT92015@cathaybk.com.tw;veison.wang@cathaybk.com.tw;NT95867@cathaybk.com.tw" TargetMode="External"/><Relationship Id="rId55" Type="http://schemas.openxmlformats.org/officeDocument/2006/relationships/hyperlink" Target="mailto:IssueTeam3@cathaybk.com.tw" TargetMode="External"/><Relationship Id="rId76" Type="http://schemas.openxmlformats.org/officeDocument/2006/relationships/hyperlink" Target="mailto:ops-dev@cathaybk.com.tw" TargetMode="External"/><Relationship Id="rId97" Type="http://schemas.openxmlformats.org/officeDocument/2006/relationships/hyperlink" Target="mailto:ed56@cathaybk.com.tw" TargetMode="External"/><Relationship Id="rId104" Type="http://schemas.openxmlformats.org/officeDocument/2006/relationships/hyperlink" Target="mailto:lisa0824@cathaybk.com.tw" TargetMode="External"/><Relationship Id="rId120" Type="http://schemas.openxmlformats.org/officeDocument/2006/relationships/hyperlink" Target="mailto:DGTCloudgroup@cathaybk.com.tw" TargetMode="External"/><Relationship Id="rId125" Type="http://schemas.openxmlformats.org/officeDocument/2006/relationships/hyperlink" Target="mailto:DGTCloudgroup@cathaybk.com.tw" TargetMode="External"/><Relationship Id="rId141" Type="http://schemas.openxmlformats.org/officeDocument/2006/relationships/hyperlink" Target="mailto:KH@cathaybk.com.tw" TargetMode="External"/><Relationship Id="rId146" Type="http://schemas.openxmlformats.org/officeDocument/2006/relationships/hyperlink" Target="mailto:lwj@cathaybk.com.tw" TargetMode="External"/><Relationship Id="rId7" Type="http://schemas.openxmlformats.org/officeDocument/2006/relationships/hyperlink" Target="mailto:IssueTeam3@cathaybk.com.tw" TargetMode="External"/><Relationship Id="rId71" Type="http://schemas.openxmlformats.org/officeDocument/2006/relationships/hyperlink" Target="mailto:branch0009607@cathaybk.com.tw" TargetMode="External"/><Relationship Id="rId92" Type="http://schemas.openxmlformats.org/officeDocument/2006/relationships/hyperlink" Target="mailto:whitney@cathaybk.com.tw" TargetMode="External"/><Relationship Id="rId162" Type="http://schemas.openxmlformats.org/officeDocument/2006/relationships/comments" Target="../comments1.xml"/><Relationship Id="rId2" Type="http://schemas.openxmlformats.org/officeDocument/2006/relationships/hyperlink" Target="mailto:EPOSTeam@cathaybk.com.tw" TargetMode="External"/><Relationship Id="rId29" Type="http://schemas.openxmlformats.org/officeDocument/2006/relationships/hyperlink" Target="mailto:NT96520@cathaybk.com.tw;NT95733@cathaybk.com.tw" TargetMode="External"/><Relationship Id="rId24" Type="http://schemas.openxmlformats.org/officeDocument/2006/relationships/hyperlink" Target="mailto:OVERSEAS_CMS_AP@cathaybk.com.tw" TargetMode="External"/><Relationship Id="rId40" Type="http://schemas.openxmlformats.org/officeDocument/2006/relationships/hyperlink" Target="mailto:YM@cathaybk.com.tw" TargetMode="External"/><Relationship Id="rId45" Type="http://schemas.openxmlformats.org/officeDocument/2006/relationships/hyperlink" Target="mailto:UXDSection-gp@cathaybk.com.tw" TargetMode="External"/><Relationship Id="rId66" Type="http://schemas.openxmlformats.org/officeDocument/2006/relationships/hyperlink" Target="mailto:GAIA@cathaybk.com.tw" TargetMode="External"/><Relationship Id="rId87" Type="http://schemas.openxmlformats.org/officeDocument/2006/relationships/hyperlink" Target="mailto:whitney@cathaybk.com.tw" TargetMode="External"/><Relationship Id="rId110" Type="http://schemas.openxmlformats.org/officeDocument/2006/relationships/hyperlink" Target="mailto:lisa0824@cathaybk.com.tw" TargetMode="External"/><Relationship Id="rId115" Type="http://schemas.openxmlformats.org/officeDocument/2006/relationships/hyperlink" Target="mailto:lisa0824@cathaybk.com.tw" TargetMode="External"/><Relationship Id="rId131" Type="http://schemas.openxmlformats.org/officeDocument/2006/relationships/hyperlink" Target="mailto:APIMadmin@cathaybk.com.tw" TargetMode="External"/><Relationship Id="rId136" Type="http://schemas.openxmlformats.org/officeDocument/2006/relationships/hyperlink" Target="mailto:APIMadmin@cathaybk.com.tw" TargetMode="External"/><Relationship Id="rId157" Type="http://schemas.openxmlformats.org/officeDocument/2006/relationships/hyperlink" Target="mailto:denchen@cathaybk.com.tw" TargetMode="External"/><Relationship Id="rId61" Type="http://schemas.openxmlformats.org/officeDocument/2006/relationships/hyperlink" Target="mailto:SEALinkservice@cathaybk.com.tw" TargetMode="External"/><Relationship Id="rId82" Type="http://schemas.openxmlformats.org/officeDocument/2006/relationships/hyperlink" Target="mailto:ovslxvndataop@cathaybk.com.tw" TargetMode="External"/><Relationship Id="rId152" Type="http://schemas.openxmlformats.org/officeDocument/2006/relationships/hyperlink" Target="mailto:BIP_Team@cathaybk.com.tw" TargetMode="External"/><Relationship Id="rId19" Type="http://schemas.openxmlformats.org/officeDocument/2006/relationships/hyperlink" Target="mailto:NT89963@cathaybk.com.tw;%20NT96152@cathaybk.com.tw" TargetMode="External"/><Relationship Id="rId14" Type="http://schemas.openxmlformats.org/officeDocument/2006/relationships/hyperlink" Target="mailto:ED75@cathaybk.com.tw" TargetMode="External"/><Relationship Id="rId30" Type="http://schemas.openxmlformats.org/officeDocument/2006/relationships/hyperlink" Target="mailto:cloud_work_develop@cathaybk.com.tw" TargetMode="External"/><Relationship Id="rId35" Type="http://schemas.openxmlformats.org/officeDocument/2006/relationships/hyperlink" Target="mailto:dgt_netap@cathaybk.com.tw;dgt_bop_calandar@cathaybk.com.tw" TargetMode="External"/><Relationship Id="rId56" Type="http://schemas.openxmlformats.org/officeDocument/2006/relationships/hyperlink" Target="mailto:DGTCloudgroup@cathaybk.com.tw" TargetMode="External"/><Relationship Id="rId77" Type="http://schemas.openxmlformats.org/officeDocument/2006/relationships/hyperlink" Target="mailto:ovslxvndataop@cathaybk.com.tw" TargetMode="External"/><Relationship Id="rId100" Type="http://schemas.openxmlformats.org/officeDocument/2006/relationships/hyperlink" Target="mailto:lisa0824@cathaybk.com.tw" TargetMode="External"/><Relationship Id="rId105" Type="http://schemas.openxmlformats.org/officeDocument/2006/relationships/hyperlink" Target="mailto:ed56@cathaybk.com.tw" TargetMode="External"/><Relationship Id="rId126" Type="http://schemas.openxmlformats.org/officeDocument/2006/relationships/hyperlink" Target="mailto:DGTCloudgroup@cathaybk.com.tw" TargetMode="External"/><Relationship Id="rId147" Type="http://schemas.openxmlformats.org/officeDocument/2006/relationships/hyperlink" Target="mailto:lwj@cathaybk.com.tw" TargetMode="External"/><Relationship Id="rId8" Type="http://schemas.openxmlformats.org/officeDocument/2006/relationships/hyperlink" Target="mailto:IssueTeam3@cathaybk.com.tw" TargetMode="External"/><Relationship Id="rId51" Type="http://schemas.openxmlformats.org/officeDocument/2006/relationships/hyperlink" Target="mailto:CBST60@cathaybk.com.tw" TargetMode="External"/><Relationship Id="rId72" Type="http://schemas.openxmlformats.org/officeDocument/2006/relationships/hyperlink" Target="mailto:IssueTeam2@cathaybk.com.tw" TargetMode="External"/><Relationship Id="rId93" Type="http://schemas.openxmlformats.org/officeDocument/2006/relationships/hyperlink" Target="mailto:NT82267@cathaybk.com.tw" TargetMode="External"/><Relationship Id="rId98" Type="http://schemas.openxmlformats.org/officeDocument/2006/relationships/hyperlink" Target="mailto:lisa0824@cathaybk.com.tw" TargetMode="External"/><Relationship Id="rId121" Type="http://schemas.openxmlformats.org/officeDocument/2006/relationships/hyperlink" Target="mailto:DGTCloudgroup@cathaybk.com.tw" TargetMode="External"/><Relationship Id="rId142" Type="http://schemas.openxmlformats.org/officeDocument/2006/relationships/hyperlink" Target="mailto:KH@cathaybk.com.tw" TargetMode="External"/><Relationship Id="rId163" Type="http://schemas.microsoft.com/office/2017/10/relationships/threadedComment" Target="../threadedComments/threadedComment1.xml"/><Relationship Id="rId3" Type="http://schemas.openxmlformats.org/officeDocument/2006/relationships/hyperlink" Target="mailto:EPOSTeam@cathaybk.com.tw" TargetMode="External"/><Relationship Id="rId25" Type="http://schemas.openxmlformats.org/officeDocument/2006/relationships/hyperlink" Target="mailto:OVERSEAS_CMS_AP@cathaybk.com.tw" TargetMode="External"/><Relationship Id="rId46" Type="http://schemas.openxmlformats.org/officeDocument/2006/relationships/hyperlink" Target="mailto:UXDSection-gp@cathaybk.com.tw" TargetMode="External"/><Relationship Id="rId67" Type="http://schemas.openxmlformats.org/officeDocument/2006/relationships/hyperlink" Target="mailto:GAIA@cathaybk.com.tw" TargetMode="External"/><Relationship Id="rId116" Type="http://schemas.openxmlformats.org/officeDocument/2006/relationships/hyperlink" Target="mailto:lisa0824@cathaybk.com.tw" TargetMode="External"/><Relationship Id="rId137" Type="http://schemas.openxmlformats.org/officeDocument/2006/relationships/hyperlink" Target="mailto:APIMadmin@cathaybk.com.tw" TargetMode="External"/><Relationship Id="rId158" Type="http://schemas.openxmlformats.org/officeDocument/2006/relationships/hyperlink" Target="mailto:phoebe0@cathaybk.com.tw" TargetMode="External"/><Relationship Id="rId20" Type="http://schemas.openxmlformats.org/officeDocument/2006/relationships/hyperlink" Target="mailto:NT89963@cathaybk.com.tw;%20NT96152@cathaybk.com.tw" TargetMode="External"/><Relationship Id="rId41" Type="http://schemas.openxmlformats.org/officeDocument/2006/relationships/hyperlink" Target="mailto:YM@cathaybk.com.tw" TargetMode="External"/><Relationship Id="rId62" Type="http://schemas.openxmlformats.org/officeDocument/2006/relationships/hyperlink" Target="mailto:NT98625@cathaybk.com.tw;%20NT96152@cathaybk.com.tw;%20NT95319@cathaybk.com.tw" TargetMode="External"/><Relationship Id="rId83" Type="http://schemas.openxmlformats.org/officeDocument/2006/relationships/hyperlink" Target="mailto:branch0009603@cathaybk.com.tw" TargetMode="External"/><Relationship Id="rId88" Type="http://schemas.openxmlformats.org/officeDocument/2006/relationships/hyperlink" Target="mailto:whitney@cathaybk.com.tw" TargetMode="External"/><Relationship Id="rId111" Type="http://schemas.openxmlformats.org/officeDocument/2006/relationships/hyperlink" Target="mailto:lisa0824@cathaybk.com.tw" TargetMode="External"/><Relationship Id="rId132" Type="http://schemas.openxmlformats.org/officeDocument/2006/relationships/hyperlink" Target="mailto:APIMadmin@cathaybk.com.tw" TargetMode="External"/><Relationship Id="rId153" Type="http://schemas.openxmlformats.org/officeDocument/2006/relationships/hyperlink" Target="mailto:denchen@cathaybk.com.tw" TargetMode="External"/><Relationship Id="rId15" Type="http://schemas.openxmlformats.org/officeDocument/2006/relationships/hyperlink" Target="mailto:ED75@cathaybk.com.tw" TargetMode="External"/><Relationship Id="rId36" Type="http://schemas.openxmlformats.org/officeDocument/2006/relationships/hyperlink" Target="mailto:DGTSREAdm@cathaybk.com.tw" TargetMode="External"/><Relationship Id="rId57" Type="http://schemas.openxmlformats.org/officeDocument/2006/relationships/hyperlink" Target="mailto:EPOSTeam@cathaybk.com.tw" TargetMode="External"/><Relationship Id="rId106" Type="http://schemas.openxmlformats.org/officeDocument/2006/relationships/hyperlink" Target="mailto:lisa0824@cathaybk.com.tw" TargetMode="External"/><Relationship Id="rId127" Type="http://schemas.openxmlformats.org/officeDocument/2006/relationships/hyperlink" Target="mailto:NT5049@cathaybk.com.tw" TargetMode="External"/><Relationship Id="rId10" Type="http://schemas.openxmlformats.org/officeDocument/2006/relationships/hyperlink" Target="mailto:NMIPTeam-Card2@cathaybk.com.tw" TargetMode="External"/><Relationship Id="rId31" Type="http://schemas.openxmlformats.org/officeDocument/2006/relationships/hyperlink" Target="mailto:DGTSREAdm@cathaybk.com.tw" TargetMode="External"/><Relationship Id="rId52" Type="http://schemas.openxmlformats.org/officeDocument/2006/relationships/hyperlink" Target="mailto:officialwebadm@cathaybk.com.tw" TargetMode="External"/><Relationship Id="rId73" Type="http://schemas.openxmlformats.org/officeDocument/2006/relationships/hyperlink" Target="mailto:IssueTeam2@cathaybk.com.tw" TargetMode="External"/><Relationship Id="rId78" Type="http://schemas.openxmlformats.org/officeDocument/2006/relationships/hyperlink" Target="mailto:ovslxvndataop@cathaybk.com.tw" TargetMode="External"/><Relationship Id="rId94" Type="http://schemas.openxmlformats.org/officeDocument/2006/relationships/hyperlink" Target="mailto:NT82267@cathaybk.com.tw" TargetMode="External"/><Relationship Id="rId99" Type="http://schemas.openxmlformats.org/officeDocument/2006/relationships/hyperlink" Target="mailto:ed56@cathaybk.com.tw" TargetMode="External"/><Relationship Id="rId101" Type="http://schemas.openxmlformats.org/officeDocument/2006/relationships/hyperlink" Target="mailto:ed56@cathaybk.com.tw" TargetMode="External"/><Relationship Id="rId122" Type="http://schemas.openxmlformats.org/officeDocument/2006/relationships/hyperlink" Target="mailto:DGTCloudgroup@cathaybk.com.tw" TargetMode="External"/><Relationship Id="rId143" Type="http://schemas.openxmlformats.org/officeDocument/2006/relationships/hyperlink" Target="mailto:lwj@cathaybk.com.tw" TargetMode="External"/><Relationship Id="rId148" Type="http://schemas.openxmlformats.org/officeDocument/2006/relationships/hyperlink" Target="mailto:lwj@cathaybk.com.tw" TargetMode="External"/><Relationship Id="rId164" Type="http://schemas.microsoft.com/office/2019/04/relationships/documenttask" Target="../documenttasks/documenttask1.xml"/><Relationship Id="rId4" Type="http://schemas.openxmlformats.org/officeDocument/2006/relationships/hyperlink" Target="mailto:IssueTeam1@cathaybk.com.tw" TargetMode="External"/><Relationship Id="rId9" Type="http://schemas.openxmlformats.org/officeDocument/2006/relationships/hyperlink" Target="mailto:NMIPTeam-Card2@cathaybk.com.tw" TargetMode="External"/><Relationship Id="rId26" Type="http://schemas.openxmlformats.org/officeDocument/2006/relationships/hyperlink" Target="mailto:OVERSEAS_CMS_AP@cathaybk.com.tw" TargetMode="External"/><Relationship Id="rId47" Type="http://schemas.openxmlformats.org/officeDocument/2006/relationships/hyperlink" Target="mailto:GAICPISD_ADM@cathaybk.com.tw" TargetMode="External"/><Relationship Id="rId68" Type="http://schemas.openxmlformats.org/officeDocument/2006/relationships/hyperlink" Target="mailto:GAICPISD_ADM@cathaybk.com.tw" TargetMode="External"/><Relationship Id="rId89" Type="http://schemas.openxmlformats.org/officeDocument/2006/relationships/hyperlink" Target="mailto:whitney@cathaybk.com.tw" TargetMode="External"/><Relationship Id="rId112" Type="http://schemas.openxmlformats.org/officeDocument/2006/relationships/hyperlink" Target="mailto:lisa0824@cathaybk.com.tw" TargetMode="External"/><Relationship Id="rId133" Type="http://schemas.openxmlformats.org/officeDocument/2006/relationships/hyperlink" Target="mailto:APIMadmin@cathaybk.com.tw" TargetMode="External"/><Relationship Id="rId154" Type="http://schemas.openxmlformats.org/officeDocument/2006/relationships/hyperlink" Target="mailto:denchen@cathaybk.com.tw" TargetMode="External"/><Relationship Id="rId16" Type="http://schemas.openxmlformats.org/officeDocument/2006/relationships/hyperlink" Target="mailto:LIP_PLN_ADM@cathaybk.com.tw" TargetMode="External"/><Relationship Id="rId37" Type="http://schemas.openxmlformats.org/officeDocument/2006/relationships/hyperlink" Target="mailto:dgt_netap@cathaybk.com.tw;dgt_bop_calandar@cathaybk.com.tw" TargetMode="External"/><Relationship Id="rId58" Type="http://schemas.openxmlformats.org/officeDocument/2006/relationships/hyperlink" Target="mailto:officialwebadm@cathaybk.com.tw" TargetMode="External"/><Relationship Id="rId79" Type="http://schemas.openxmlformats.org/officeDocument/2006/relationships/hyperlink" Target="mailto:branch0009607@cathaybk.com.tw" TargetMode="External"/><Relationship Id="rId102" Type="http://schemas.openxmlformats.org/officeDocument/2006/relationships/hyperlink" Target="mailto:lisa0824@cathaybk.com.tw" TargetMode="External"/><Relationship Id="rId123" Type="http://schemas.openxmlformats.org/officeDocument/2006/relationships/hyperlink" Target="mailto:DGTCloudgroup@cathaybk.com.tw" TargetMode="External"/><Relationship Id="rId144" Type="http://schemas.openxmlformats.org/officeDocument/2006/relationships/hyperlink" Target="mailto:lwj@cathaybk.com.tw" TargetMode="External"/><Relationship Id="rId90" Type="http://schemas.openxmlformats.org/officeDocument/2006/relationships/hyperlink" Target="mailto:whitney@cathaybk.com.tw" TargetMode="External"/><Relationship Id="rId27" Type="http://schemas.openxmlformats.org/officeDocument/2006/relationships/hyperlink" Target="mailto:NT96520@cathaybk.com.tw;NT95733@cathaybk.com.tw" TargetMode="External"/><Relationship Id="rId48" Type="http://schemas.openxmlformats.org/officeDocument/2006/relationships/hyperlink" Target="mailto:GAICPISD_ADM@cathaybk.com.tw" TargetMode="External"/><Relationship Id="rId69" Type="http://schemas.openxmlformats.org/officeDocument/2006/relationships/hyperlink" Target="mailto:branch0009603@cathaybk.com.tw" TargetMode="External"/><Relationship Id="rId113" Type="http://schemas.openxmlformats.org/officeDocument/2006/relationships/hyperlink" Target="mailto:lisa0824@cathaybk.com.tw" TargetMode="External"/><Relationship Id="rId134" Type="http://schemas.openxmlformats.org/officeDocument/2006/relationships/hyperlink" Target="mailto:APIMadmin@cathaybk.com.tw" TargetMode="External"/><Relationship Id="rId80" Type="http://schemas.openxmlformats.org/officeDocument/2006/relationships/hyperlink" Target="mailto:ed888@cathaybk.com.tw" TargetMode="External"/><Relationship Id="rId155" Type="http://schemas.openxmlformats.org/officeDocument/2006/relationships/hyperlink" Target="mailto:denchen@cathaybk.com.tw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MidMipAdmin@cathaybk.com.tw" TargetMode="External"/><Relationship Id="rId1" Type="http://schemas.openxmlformats.org/officeDocument/2006/relationships/hyperlink" Target="mailto:MidMipAdmin@cathaybk.com.tw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CNA@cathaybk.com.tw" TargetMode="External"/><Relationship Id="rId3" Type="http://schemas.openxmlformats.org/officeDocument/2006/relationships/hyperlink" Target="mailto:APIMadmin@cathaybk.com.tw" TargetMode="External"/><Relationship Id="rId7" Type="http://schemas.openxmlformats.org/officeDocument/2006/relationships/hyperlink" Target="mailto:ITDevOps@cathaybk.com.tw" TargetMode="External"/><Relationship Id="rId2" Type="http://schemas.openxmlformats.org/officeDocument/2006/relationships/hyperlink" Target="mailto:APIMadmin@cathaybk.com.tw" TargetMode="External"/><Relationship Id="rId1" Type="http://schemas.openxmlformats.org/officeDocument/2006/relationships/hyperlink" Target="mailto:APIMadmin@cathaybk.com.tw" TargetMode="External"/><Relationship Id="rId6" Type="http://schemas.openxmlformats.org/officeDocument/2006/relationships/hyperlink" Target="mailto:ITDevOps@cathaybk.com.tw" TargetMode="External"/><Relationship Id="rId5" Type="http://schemas.openxmlformats.org/officeDocument/2006/relationships/hyperlink" Target="mailto:ITDevOps@cathaybk.com.tw" TargetMode="External"/><Relationship Id="rId4" Type="http://schemas.openxmlformats.org/officeDocument/2006/relationships/hyperlink" Target="mailto:APIMadmin@cathaybk.com.tw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NMIPTeam-Card2@cathaybk.com.tw" TargetMode="External"/><Relationship Id="rId13" Type="http://schemas.openxmlformats.org/officeDocument/2006/relationships/hyperlink" Target="mailto:IssueTeam2@cathaybk.com.tw" TargetMode="External"/><Relationship Id="rId3" Type="http://schemas.openxmlformats.org/officeDocument/2006/relationships/hyperlink" Target="mailto:IssueTeam1@cathaybk.com.tw" TargetMode="External"/><Relationship Id="rId7" Type="http://schemas.openxmlformats.org/officeDocument/2006/relationships/hyperlink" Target="mailto:IssueTeam3@cathaybk.com.tw" TargetMode="External"/><Relationship Id="rId12" Type="http://schemas.openxmlformats.org/officeDocument/2006/relationships/hyperlink" Target="mailto:IssueTeam2@cathaybk.com.tw" TargetMode="External"/><Relationship Id="rId17" Type="http://schemas.openxmlformats.org/officeDocument/2006/relationships/printerSettings" Target="../printerSettings/printerSettings7.bin"/><Relationship Id="rId2" Type="http://schemas.openxmlformats.org/officeDocument/2006/relationships/hyperlink" Target="mailto:EPOSTeam@cathaybk.com.tw" TargetMode="External"/><Relationship Id="rId16" Type="http://schemas.openxmlformats.org/officeDocument/2006/relationships/hyperlink" Target="mailto:IssueTeam3@cathaybk.com.tw" TargetMode="External"/><Relationship Id="rId1" Type="http://schemas.openxmlformats.org/officeDocument/2006/relationships/hyperlink" Target="mailto:EPOSTeam@cathaybk.com.tw" TargetMode="External"/><Relationship Id="rId6" Type="http://schemas.openxmlformats.org/officeDocument/2006/relationships/hyperlink" Target="mailto:IssueTeam3@cathaybk.com.tw" TargetMode="External"/><Relationship Id="rId11" Type="http://schemas.openxmlformats.org/officeDocument/2006/relationships/hyperlink" Target="mailto:OCR@cathaybk.com.tw" TargetMode="External"/><Relationship Id="rId5" Type="http://schemas.openxmlformats.org/officeDocument/2006/relationships/hyperlink" Target="mailto:IssueTeam3@cathaybk.com.tw" TargetMode="External"/><Relationship Id="rId15" Type="http://schemas.openxmlformats.org/officeDocument/2006/relationships/hyperlink" Target="mailto:IssueTeam3@cathaybk.com.tw" TargetMode="External"/><Relationship Id="rId10" Type="http://schemas.openxmlformats.org/officeDocument/2006/relationships/hyperlink" Target="mailto:NMIPTeam-Card2@cathaybk.com.tw" TargetMode="External"/><Relationship Id="rId4" Type="http://schemas.openxmlformats.org/officeDocument/2006/relationships/hyperlink" Target="mailto:IssueTeam1@cathaybk.com.tw" TargetMode="External"/><Relationship Id="rId9" Type="http://schemas.openxmlformats.org/officeDocument/2006/relationships/hyperlink" Target="mailto:NMIPTeam-Card2@cathaybk.com.tw" TargetMode="External"/><Relationship Id="rId14" Type="http://schemas.openxmlformats.org/officeDocument/2006/relationships/hyperlink" Target="mailto:EPOSTeam@cathaybk.com.tw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LIP_PLN_ADM@cathaybk.com.tw" TargetMode="External"/><Relationship Id="rId2" Type="http://schemas.openxmlformats.org/officeDocument/2006/relationships/hyperlink" Target="mailto:ED75@cathaybk.com.tw" TargetMode="External"/><Relationship Id="rId1" Type="http://schemas.openxmlformats.org/officeDocument/2006/relationships/hyperlink" Target="mailto:ED75@cathaybk.com.tw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vn_it_ap@vn.cathaybk.com" TargetMode="External"/><Relationship Id="rId3" Type="http://schemas.openxmlformats.org/officeDocument/2006/relationships/hyperlink" Target="mailto:vn_it_ap@vn.cathaybk.com" TargetMode="External"/><Relationship Id="rId7" Type="http://schemas.openxmlformats.org/officeDocument/2006/relationships/hyperlink" Target="mailto:vn_it_ap@vn.cathaybk.com" TargetMode="External"/><Relationship Id="rId12" Type="http://schemas.openxmlformats.org/officeDocument/2006/relationships/hyperlink" Target="mailto:vn_it_ap@vn.cathaybk.com" TargetMode="External"/><Relationship Id="rId2" Type="http://schemas.openxmlformats.org/officeDocument/2006/relationships/hyperlink" Target="mailto:vn_it_ap@vn.cathaybk.com" TargetMode="External"/><Relationship Id="rId1" Type="http://schemas.openxmlformats.org/officeDocument/2006/relationships/hyperlink" Target="mailto:vn_it_ap@vn.cathaybk.com" TargetMode="External"/><Relationship Id="rId6" Type="http://schemas.openxmlformats.org/officeDocument/2006/relationships/hyperlink" Target="mailto:vn_it_ap@vn.cathaybk.com" TargetMode="External"/><Relationship Id="rId11" Type="http://schemas.openxmlformats.org/officeDocument/2006/relationships/hyperlink" Target="mailto:vn_it_ap@vn.cathaybk.com" TargetMode="External"/><Relationship Id="rId5" Type="http://schemas.openxmlformats.org/officeDocument/2006/relationships/hyperlink" Target="mailto:vn_it_ap@vn.cathaybk.com" TargetMode="External"/><Relationship Id="rId10" Type="http://schemas.openxmlformats.org/officeDocument/2006/relationships/hyperlink" Target="mailto:vn_it_ap@vn.cathaybk.com" TargetMode="External"/><Relationship Id="rId4" Type="http://schemas.openxmlformats.org/officeDocument/2006/relationships/hyperlink" Target="mailto:vn_it_ap@vn.cathaybk.com" TargetMode="External"/><Relationship Id="rId9" Type="http://schemas.openxmlformats.org/officeDocument/2006/relationships/hyperlink" Target="mailto:vn_it_ap@vn.cathaybk.co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NT49028@cathaybk.com.tw;NT95756@cathaybk.com.tw;NT92836@cathaybk.com.tw;NT92015@cathaybk.com.tw;veison.wang@cathaybk.com.tw;NT95867@cathaybk.com.tw" TargetMode="External"/><Relationship Id="rId13" Type="http://schemas.openxmlformats.org/officeDocument/2006/relationships/hyperlink" Target="mailto:NT89412@cathaybk.com.tw;unachan@cathaybk.com.tw;NT98894@cathaybk.com.tw;NT98970@cathaybk.com.tw" TargetMode="External"/><Relationship Id="rId3" Type="http://schemas.openxmlformats.org/officeDocument/2006/relationships/hyperlink" Target="mailto:NT89963@cathaybk.com.tw;%20NT96152@cathaybk.com.tw" TargetMode="External"/><Relationship Id="rId7" Type="http://schemas.openxmlformats.org/officeDocument/2006/relationships/hyperlink" Target="mailto:NT49028@cathaybk.com.tw;NT95756@cathaybk.com.tw;NT92836@cathaybk.com.tw;NT92015@cathaybk.com.tw;veison.wang@cathaybk.com.tw;NT95867@cathaybk.com.tw" TargetMode="External"/><Relationship Id="rId12" Type="http://schemas.openxmlformats.org/officeDocument/2006/relationships/hyperlink" Target="mailto:NT89412@cathaybk.com.tw;unachan@cathaybk.com.tw;NT98894@cathaybk.com.tw;NT98970@cathaybk.com.tw" TargetMode="External"/><Relationship Id="rId2" Type="http://schemas.openxmlformats.org/officeDocument/2006/relationships/hyperlink" Target="mailto:NT98625@cathaybk.com.tw;%20NT96152@cathaybk.com.tw;%20NT95319@cathaybk.com.tw" TargetMode="External"/><Relationship Id="rId1" Type="http://schemas.openxmlformats.org/officeDocument/2006/relationships/hyperlink" Target="mailto:NT98625@cathaybk.com.tw;%20NT96152@cathaybk.com.tw;%20NT95319@cathaybk.com.tw" TargetMode="External"/><Relationship Id="rId6" Type="http://schemas.openxmlformats.org/officeDocument/2006/relationships/hyperlink" Target="mailto:NT49028@cathaybk.com.tw;NT95756@cathaybk.com.tw;NT92836@cathaybk.com.tw;NT92015@cathaybk.com.tw;veison.wang@cathaybk.com.tw;NT95867@cathaybk.com.tw" TargetMode="External"/><Relationship Id="rId11" Type="http://schemas.openxmlformats.org/officeDocument/2006/relationships/hyperlink" Target="mailto:SEALinkservice@cathaybk.com.tw" TargetMode="External"/><Relationship Id="rId5" Type="http://schemas.openxmlformats.org/officeDocument/2006/relationships/hyperlink" Target="mailto:NT89963@cathaybk.com.tw;%20NT96152@cathaybk.com.tw" TargetMode="External"/><Relationship Id="rId10" Type="http://schemas.openxmlformats.org/officeDocument/2006/relationships/hyperlink" Target="mailto:SEALinkservice@cathaybk.com.tw" TargetMode="External"/><Relationship Id="rId4" Type="http://schemas.openxmlformats.org/officeDocument/2006/relationships/hyperlink" Target="mailto:NT89963@cathaybk.com.tw;%20NT96152@cathaybk.com.tw" TargetMode="External"/><Relationship Id="rId9" Type="http://schemas.openxmlformats.org/officeDocument/2006/relationships/hyperlink" Target="mailto:SEALinkservice@cathaybk.com.tw" TargetMode="External"/><Relationship Id="rId14" Type="http://schemas.openxmlformats.org/officeDocument/2006/relationships/hyperlink" Target="mailto:NT89412@cathaybk.com.tw;unachan@cathaybk.com.tw;NT98894@cathaybk.com.tw;NT98970@cathaybk.com.tw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OVERSEAS_CMS_AP@cathaybk.com.tw" TargetMode="External"/><Relationship Id="rId2" Type="http://schemas.openxmlformats.org/officeDocument/2006/relationships/hyperlink" Target="mailto:OVERSEAS_CMS_AP@cathaybk.com.tw" TargetMode="External"/><Relationship Id="rId1" Type="http://schemas.openxmlformats.org/officeDocument/2006/relationships/hyperlink" Target="mailto:OVERSEAS_CMS_AP@cathaybk.com.tw" TargetMode="External"/><Relationship Id="rId6" Type="http://schemas.openxmlformats.org/officeDocument/2006/relationships/hyperlink" Target="mailto:NT96520@cathaybk.com.tw;NT95733@cathaybk.com.tw" TargetMode="External"/><Relationship Id="rId5" Type="http://schemas.openxmlformats.org/officeDocument/2006/relationships/hyperlink" Target="mailto:NT96520@cathaybk.com.tw;NT95733@cathaybk.com.tw" TargetMode="External"/><Relationship Id="rId4" Type="http://schemas.openxmlformats.org/officeDocument/2006/relationships/hyperlink" Target="mailto:NT96520@cathaybk.com.tw;NT95733@cathaybk.com.tw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cloud_work_develop@cathaybk.com.tw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mailto:GAICPISD_ADM@cathaybk.com.tw" TargetMode="External"/><Relationship Id="rId1" Type="http://schemas.openxmlformats.org/officeDocument/2006/relationships/hyperlink" Target="mailto:UXDSection-gp@cathaybk.com.tw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mailto:dgt_netap@cathaybk.com.tw;dgt_bop_calandar@cathaybk.com.tw" TargetMode="External"/><Relationship Id="rId3" Type="http://schemas.openxmlformats.org/officeDocument/2006/relationships/hyperlink" Target="mailto:DGTSREAdm@cathaybk.com.tw" TargetMode="External"/><Relationship Id="rId7" Type="http://schemas.openxmlformats.org/officeDocument/2006/relationships/hyperlink" Target="mailto:dgt_netap@cathaybk.com.tw;dgt_bop_calandar@cathaybk.com.tw" TargetMode="External"/><Relationship Id="rId2" Type="http://schemas.openxmlformats.org/officeDocument/2006/relationships/hyperlink" Target="mailto:DGTSREAdm@cathaybk.com.tw" TargetMode="External"/><Relationship Id="rId1" Type="http://schemas.openxmlformats.org/officeDocument/2006/relationships/hyperlink" Target="mailto:DGTSREAdm@cathaybk.com.tw" TargetMode="External"/><Relationship Id="rId6" Type="http://schemas.openxmlformats.org/officeDocument/2006/relationships/hyperlink" Target="mailto:DGTSREAdm@cathaybk.com.tw" TargetMode="External"/><Relationship Id="rId5" Type="http://schemas.openxmlformats.org/officeDocument/2006/relationships/hyperlink" Target="mailto:dgt_netap@cathaybk.com.tw;dgt_bop_calandar@cathaybk.com.tw" TargetMode="External"/><Relationship Id="rId10" Type="http://schemas.openxmlformats.org/officeDocument/2006/relationships/hyperlink" Target="mailto:DGTCloudgroup@cathaybk.com.tw" TargetMode="External"/><Relationship Id="rId4" Type="http://schemas.openxmlformats.org/officeDocument/2006/relationships/hyperlink" Target="mailto:DGTCloudgroup@cathaybk.com.tw" TargetMode="External"/><Relationship Id="rId9" Type="http://schemas.openxmlformats.org/officeDocument/2006/relationships/hyperlink" Target="mailto:DGTCloudgroup@cathaybk.com.tw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mailto:YM@cathaybk.com.tw" TargetMode="External"/><Relationship Id="rId2" Type="http://schemas.openxmlformats.org/officeDocument/2006/relationships/hyperlink" Target="mailto:YM@cathaybk.com.tw" TargetMode="External"/><Relationship Id="rId1" Type="http://schemas.openxmlformats.org/officeDocument/2006/relationships/hyperlink" Target="mailto:jessie.lin@cathaybk.com.tw,%20nt91447@cathaybk.com.tw,%20nt90999@cathaybk.com.tw,%20nt92861@cathaybk.com.tw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mailto:ds_data@cathaybk.com.tw" TargetMode="External"/><Relationship Id="rId2" Type="http://schemas.openxmlformats.org/officeDocument/2006/relationships/hyperlink" Target="mailto:ds_data@cathaybk.com.tw" TargetMode="External"/><Relationship Id="rId1" Type="http://schemas.openxmlformats.org/officeDocument/2006/relationships/hyperlink" Target="mailto:ds_data@cathaybk.com.tw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U34"/>
  <sheetViews>
    <sheetView zoomScale="130" zoomScaleNormal="130" workbookViewId="0">
      <selection activeCell="E38" sqref="E38"/>
    </sheetView>
  </sheetViews>
  <sheetFormatPr defaultColWidth="10.85546875" defaultRowHeight="12.75"/>
  <cols>
    <col min="1" max="2" width="7.7109375" style="1" customWidth="1"/>
    <col min="3" max="3" width="23.42578125" style="6" customWidth="1"/>
    <col min="4" max="4" width="17.85546875" style="6" customWidth="1"/>
    <col min="5" max="5" width="15.7109375" style="6" customWidth="1"/>
    <col min="6" max="6" width="11" style="6" customWidth="1"/>
    <col min="7" max="7" width="10.85546875" style="6"/>
    <col min="8" max="8" width="8.28515625" style="2" customWidth="1"/>
    <col min="9" max="9" width="7" style="1" customWidth="1"/>
    <col min="10" max="12" width="0" style="2" hidden="1" customWidth="1"/>
    <col min="13" max="13" width="10.85546875" style="2"/>
    <col min="14" max="15" width="9.140625" style="1" customWidth="1"/>
    <col min="16" max="16" width="11" style="1" customWidth="1"/>
    <col min="17" max="17" width="11" style="2" customWidth="1"/>
    <col min="18" max="18" width="10.85546875" style="2"/>
    <col min="19" max="19" width="10.28515625" style="2" customWidth="1"/>
    <col min="20" max="20" width="36.28515625" style="1" customWidth="1"/>
    <col min="21" max="21" width="10.140625" style="2" customWidth="1"/>
    <col min="22" max="16384" width="10.85546875" style="2"/>
  </cols>
  <sheetData>
    <row r="1" spans="1:21" s="7" customFormat="1" ht="27">
      <c r="A1" s="9" t="s">
        <v>0</v>
      </c>
      <c r="B1" s="7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43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7" t="s">
        <v>13</v>
      </c>
      <c r="O1" s="44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</row>
    <row r="2" spans="1:21" ht="38.25">
      <c r="A2" s="9">
        <v>1</v>
      </c>
      <c r="B2" s="9"/>
      <c r="C2" s="4" t="s">
        <v>21</v>
      </c>
      <c r="D2" s="4" t="s">
        <v>22</v>
      </c>
      <c r="E2" s="4" t="s">
        <v>23</v>
      </c>
      <c r="F2" s="4" t="s">
        <v>24</v>
      </c>
      <c r="G2" s="17" t="s">
        <v>25</v>
      </c>
      <c r="H2" s="4" t="s">
        <v>26</v>
      </c>
      <c r="I2" s="9" t="s">
        <v>27</v>
      </c>
      <c r="J2" s="4" t="s">
        <v>28</v>
      </c>
      <c r="K2" s="4" t="s">
        <v>29</v>
      </c>
      <c r="L2" s="4"/>
      <c r="M2" s="4" t="s">
        <v>30</v>
      </c>
      <c r="N2" s="39"/>
      <c r="O2" s="39"/>
      <c r="P2" s="11">
        <v>44866</v>
      </c>
      <c r="Q2" s="9"/>
      <c r="R2" s="4"/>
      <c r="S2" s="4" t="s">
        <v>31</v>
      </c>
      <c r="T2" s="14" t="s">
        <v>32</v>
      </c>
      <c r="U2" s="9">
        <v>2024</v>
      </c>
    </row>
    <row r="3" spans="1:21" ht="25.5">
      <c r="A3" s="9">
        <f>1+A2</f>
        <v>2</v>
      </c>
      <c r="B3" s="9"/>
      <c r="C3" s="4" t="s">
        <v>33</v>
      </c>
      <c r="D3" s="4"/>
      <c r="E3" s="4" t="s">
        <v>34</v>
      </c>
      <c r="F3" s="4" t="s">
        <v>35</v>
      </c>
      <c r="G3" s="17" t="s">
        <v>25</v>
      </c>
      <c r="H3" s="4" t="s">
        <v>26</v>
      </c>
      <c r="I3" s="9" t="s">
        <v>27</v>
      </c>
      <c r="J3" s="4" t="s">
        <v>28</v>
      </c>
      <c r="K3" s="4" t="s">
        <v>29</v>
      </c>
      <c r="L3" s="4"/>
      <c r="M3" s="4" t="s">
        <v>36</v>
      </c>
      <c r="N3" s="4"/>
      <c r="O3" s="4"/>
      <c r="P3" s="12">
        <v>44866</v>
      </c>
      <c r="Q3" s="13">
        <v>45292</v>
      </c>
      <c r="R3" s="4"/>
      <c r="S3" s="4" t="s">
        <v>31</v>
      </c>
      <c r="T3" s="4" t="s">
        <v>37</v>
      </c>
      <c r="U3" s="9">
        <v>2024</v>
      </c>
    </row>
    <row r="4" spans="1:21" ht="99.75">
      <c r="A4" s="9">
        <f t="shared" ref="A4:A16" si="0">1+A3</f>
        <v>3</v>
      </c>
      <c r="B4" s="9"/>
      <c r="C4" s="28" t="s">
        <v>38</v>
      </c>
      <c r="D4" s="4"/>
      <c r="E4" s="4" t="s">
        <v>39</v>
      </c>
      <c r="F4" s="4" t="s">
        <v>40</v>
      </c>
      <c r="G4" s="17" t="s">
        <v>25</v>
      </c>
      <c r="H4" s="4" t="s">
        <v>26</v>
      </c>
      <c r="I4" s="9" t="s">
        <v>27</v>
      </c>
      <c r="J4" s="4" t="s">
        <v>28</v>
      </c>
      <c r="K4" s="4" t="s">
        <v>41</v>
      </c>
      <c r="L4" s="4"/>
      <c r="M4" s="4" t="s">
        <v>42</v>
      </c>
      <c r="N4" s="38" t="s">
        <v>43</v>
      </c>
      <c r="O4" s="38"/>
      <c r="P4" s="12">
        <v>44866</v>
      </c>
      <c r="Q4" s="15" t="s">
        <v>44</v>
      </c>
      <c r="R4" s="4"/>
      <c r="S4" s="4" t="s">
        <v>31</v>
      </c>
      <c r="T4" s="3" t="s">
        <v>45</v>
      </c>
      <c r="U4" s="9">
        <v>2024</v>
      </c>
    </row>
    <row r="5" spans="1:21" ht="27">
      <c r="A5" s="9">
        <f t="shared" si="0"/>
        <v>4</v>
      </c>
      <c r="B5" s="9"/>
      <c r="C5" s="17" t="s">
        <v>46</v>
      </c>
      <c r="D5" s="4"/>
      <c r="E5" s="4" t="s">
        <v>34</v>
      </c>
      <c r="F5" s="4" t="s">
        <v>47</v>
      </c>
      <c r="G5" s="3" t="s">
        <v>48</v>
      </c>
      <c r="H5" s="4" t="s">
        <v>26</v>
      </c>
      <c r="I5" s="9" t="s">
        <v>27</v>
      </c>
      <c r="J5" s="4" t="s">
        <v>28</v>
      </c>
      <c r="K5" s="4" t="s">
        <v>41</v>
      </c>
      <c r="L5" s="4"/>
      <c r="M5" s="4" t="s">
        <v>42</v>
      </c>
      <c r="N5" s="4"/>
      <c r="O5" s="4"/>
      <c r="P5" s="12">
        <v>44866</v>
      </c>
      <c r="Q5" s="9"/>
      <c r="R5" s="4"/>
      <c r="S5" s="4" t="s">
        <v>31</v>
      </c>
      <c r="T5" s="3" t="s">
        <v>49</v>
      </c>
      <c r="U5" s="9">
        <v>2024</v>
      </c>
    </row>
    <row r="6" spans="1:21" ht="71.25" hidden="1">
      <c r="A6" s="9">
        <f t="shared" si="0"/>
        <v>5</v>
      </c>
      <c r="B6" s="9"/>
      <c r="C6" s="28" t="s">
        <v>50</v>
      </c>
      <c r="D6" s="4" t="s">
        <v>51</v>
      </c>
      <c r="E6" s="4" t="s">
        <v>52</v>
      </c>
      <c r="F6" s="4" t="s">
        <v>53</v>
      </c>
      <c r="G6" s="3" t="s">
        <v>54</v>
      </c>
      <c r="H6" s="4" t="s">
        <v>55</v>
      </c>
      <c r="I6" s="9" t="s">
        <v>27</v>
      </c>
      <c r="J6" s="4" t="s">
        <v>28</v>
      </c>
      <c r="K6" s="4" t="s">
        <v>29</v>
      </c>
      <c r="L6" s="4"/>
      <c r="M6" s="4" t="s">
        <v>36</v>
      </c>
      <c r="N6" s="4"/>
      <c r="O6" s="4"/>
      <c r="P6" s="12">
        <v>44835</v>
      </c>
      <c r="Q6" s="13">
        <v>45047</v>
      </c>
      <c r="R6" s="4"/>
      <c r="S6" s="4" t="s">
        <v>31</v>
      </c>
      <c r="T6" s="14" t="s">
        <v>56</v>
      </c>
      <c r="U6" s="9">
        <v>2024</v>
      </c>
    </row>
    <row r="7" spans="1:21" hidden="1">
      <c r="A7" s="9">
        <f t="shared" si="0"/>
        <v>6</v>
      </c>
      <c r="B7" s="9"/>
      <c r="C7" s="4" t="s">
        <v>57</v>
      </c>
      <c r="D7" s="4" t="s">
        <v>58</v>
      </c>
      <c r="E7" s="4" t="s">
        <v>52</v>
      </c>
      <c r="F7" s="4" t="s">
        <v>59</v>
      </c>
      <c r="G7" s="4"/>
      <c r="H7" s="4" t="s">
        <v>55</v>
      </c>
      <c r="I7" s="9" t="s">
        <v>27</v>
      </c>
      <c r="J7" s="4"/>
      <c r="K7" s="4"/>
      <c r="L7" s="4"/>
      <c r="M7" s="4"/>
      <c r="N7" s="4"/>
      <c r="O7" s="4"/>
      <c r="P7" s="9"/>
      <c r="Q7" s="9"/>
      <c r="R7" s="4"/>
      <c r="S7" s="4"/>
      <c r="T7" s="3" t="s">
        <v>60</v>
      </c>
      <c r="U7" s="9">
        <v>2024</v>
      </c>
    </row>
    <row r="8" spans="1:21" hidden="1">
      <c r="A8" s="9">
        <f t="shared" si="0"/>
        <v>7</v>
      </c>
      <c r="B8" s="9"/>
      <c r="C8" s="4" t="s">
        <v>61</v>
      </c>
      <c r="D8" s="4"/>
      <c r="E8" s="4" t="s">
        <v>52</v>
      </c>
      <c r="F8" s="4" t="s">
        <v>62</v>
      </c>
      <c r="G8" s="4"/>
      <c r="H8" s="4" t="s">
        <v>55</v>
      </c>
      <c r="I8" s="9" t="s">
        <v>27</v>
      </c>
      <c r="J8" s="4"/>
      <c r="K8" s="4"/>
      <c r="L8" s="4"/>
      <c r="M8" s="4" t="s">
        <v>42</v>
      </c>
      <c r="N8" s="4"/>
      <c r="O8" s="4"/>
      <c r="P8" s="9"/>
      <c r="Q8" s="9"/>
      <c r="R8" s="4"/>
      <c r="S8" s="4"/>
      <c r="T8" s="4"/>
      <c r="U8" s="9">
        <v>2024</v>
      </c>
    </row>
    <row r="9" spans="1:21" hidden="1">
      <c r="A9" s="9">
        <f t="shared" si="0"/>
        <v>8</v>
      </c>
      <c r="B9" s="9"/>
      <c r="C9" s="4" t="s">
        <v>63</v>
      </c>
      <c r="D9" s="4"/>
      <c r="E9" s="4" t="s">
        <v>52</v>
      </c>
      <c r="F9" s="4" t="s">
        <v>64</v>
      </c>
      <c r="G9" s="4"/>
      <c r="H9" s="4" t="s">
        <v>55</v>
      </c>
      <c r="I9" s="9" t="s">
        <v>27</v>
      </c>
      <c r="J9" s="4"/>
      <c r="K9" s="4"/>
      <c r="L9" s="4"/>
      <c r="M9" s="4"/>
      <c r="N9" s="4"/>
      <c r="O9" s="4"/>
      <c r="P9" s="34">
        <v>45292</v>
      </c>
      <c r="Q9" s="9"/>
      <c r="R9" s="4"/>
      <c r="S9" s="4"/>
      <c r="T9" s="4"/>
      <c r="U9" s="9">
        <v>2024</v>
      </c>
    </row>
    <row r="10" spans="1:21" hidden="1">
      <c r="A10" s="9">
        <f t="shared" si="0"/>
        <v>9</v>
      </c>
      <c r="B10" s="9"/>
      <c r="C10" s="4" t="s">
        <v>65</v>
      </c>
      <c r="D10" s="4"/>
      <c r="E10" s="4" t="s">
        <v>52</v>
      </c>
      <c r="F10" s="4" t="s">
        <v>66</v>
      </c>
      <c r="G10" s="4"/>
      <c r="H10" s="4" t="s">
        <v>55</v>
      </c>
      <c r="I10" s="9" t="s">
        <v>27</v>
      </c>
      <c r="J10" s="4"/>
      <c r="K10" s="4"/>
      <c r="L10" s="4"/>
      <c r="M10" s="4"/>
      <c r="N10" s="4"/>
      <c r="O10" s="4"/>
      <c r="P10" s="34">
        <v>45292</v>
      </c>
      <c r="Q10" s="9"/>
      <c r="R10" s="4"/>
      <c r="S10" s="4"/>
      <c r="T10" s="4"/>
      <c r="U10" s="9">
        <v>2024</v>
      </c>
    </row>
    <row r="11" spans="1:21" ht="13.5" hidden="1">
      <c r="A11" s="9">
        <f t="shared" si="0"/>
        <v>10</v>
      </c>
      <c r="B11" s="9"/>
      <c r="C11" s="41" t="s">
        <v>67</v>
      </c>
      <c r="D11" s="4"/>
      <c r="E11" s="4" t="s">
        <v>52</v>
      </c>
      <c r="F11" s="4" t="s">
        <v>68</v>
      </c>
      <c r="G11" s="4"/>
      <c r="H11" s="4" t="s">
        <v>55</v>
      </c>
      <c r="I11" s="9" t="s">
        <v>27</v>
      </c>
      <c r="J11" s="4"/>
      <c r="K11" s="4"/>
      <c r="L11" s="4"/>
      <c r="M11" s="4"/>
      <c r="N11" s="4"/>
      <c r="O11" s="4"/>
      <c r="P11" s="9"/>
      <c r="Q11" s="9"/>
      <c r="R11" s="4"/>
      <c r="S11" s="4"/>
      <c r="T11" s="4"/>
      <c r="U11" s="9">
        <v>2024</v>
      </c>
    </row>
    <row r="12" spans="1:21" ht="25.5">
      <c r="A12" s="9">
        <f t="shared" si="0"/>
        <v>11</v>
      </c>
      <c r="B12" s="9"/>
      <c r="C12" s="4" t="s">
        <v>69</v>
      </c>
      <c r="D12" s="4"/>
      <c r="E12" s="4"/>
      <c r="F12" s="4" t="s">
        <v>70</v>
      </c>
      <c r="G12" s="4"/>
      <c r="H12" s="4" t="s">
        <v>26</v>
      </c>
      <c r="I12" s="9" t="s">
        <v>27</v>
      </c>
      <c r="J12" s="4"/>
      <c r="K12" s="4"/>
      <c r="L12" s="4"/>
      <c r="M12" s="4"/>
      <c r="N12" s="4"/>
      <c r="O12" s="4"/>
      <c r="P12" s="9"/>
      <c r="Q12" s="9"/>
      <c r="R12" s="4"/>
      <c r="S12" s="4"/>
      <c r="T12" s="4"/>
      <c r="U12" s="9">
        <v>2024</v>
      </c>
    </row>
    <row r="13" spans="1:21" ht="13.5">
      <c r="A13" s="9">
        <f t="shared" si="0"/>
        <v>12</v>
      </c>
      <c r="B13" s="9"/>
      <c r="C13" s="3" t="s">
        <v>71</v>
      </c>
      <c r="D13" s="4"/>
      <c r="E13" s="4"/>
      <c r="F13" s="4" t="s">
        <v>72</v>
      </c>
      <c r="G13" s="4"/>
      <c r="H13" s="4" t="s">
        <v>26</v>
      </c>
      <c r="I13" s="9" t="s">
        <v>27</v>
      </c>
      <c r="J13" s="4"/>
      <c r="K13" s="4"/>
      <c r="L13" s="4"/>
      <c r="M13" s="4"/>
      <c r="N13" s="4"/>
      <c r="O13" s="4"/>
      <c r="P13" s="9"/>
      <c r="Q13" s="9"/>
      <c r="R13" s="4"/>
      <c r="S13" s="4"/>
      <c r="T13" s="4"/>
      <c r="U13" s="9">
        <v>2024</v>
      </c>
    </row>
    <row r="14" spans="1:21" ht="13.5">
      <c r="A14" s="9">
        <f t="shared" si="0"/>
        <v>13</v>
      </c>
      <c r="B14" s="9"/>
      <c r="C14" s="3" t="s">
        <v>73</v>
      </c>
      <c r="D14" s="4"/>
      <c r="E14" s="4"/>
      <c r="F14" s="4" t="s">
        <v>74</v>
      </c>
      <c r="G14" s="4"/>
      <c r="H14" s="4" t="s">
        <v>26</v>
      </c>
      <c r="I14" s="7" t="s">
        <v>27</v>
      </c>
      <c r="J14" s="4"/>
      <c r="K14" s="4"/>
      <c r="L14" s="4"/>
      <c r="M14" s="4"/>
      <c r="N14" s="4"/>
      <c r="O14" s="4"/>
      <c r="P14" s="9"/>
      <c r="Q14" s="9"/>
      <c r="R14" s="4"/>
      <c r="S14" s="4"/>
      <c r="T14" s="4"/>
      <c r="U14" s="9"/>
    </row>
    <row r="15" spans="1:21" ht="13.5">
      <c r="A15" s="9">
        <f t="shared" si="0"/>
        <v>14</v>
      </c>
      <c r="B15" s="9"/>
      <c r="C15" s="40" t="s">
        <v>75</v>
      </c>
      <c r="D15" s="4"/>
      <c r="E15" s="4"/>
      <c r="F15" s="4"/>
      <c r="G15" s="4"/>
      <c r="H15" s="4" t="s">
        <v>26</v>
      </c>
      <c r="I15" s="7" t="s">
        <v>27</v>
      </c>
      <c r="J15" s="4"/>
      <c r="K15" s="4"/>
      <c r="L15" s="4"/>
      <c r="M15" s="4"/>
      <c r="N15" s="4"/>
      <c r="O15" s="4"/>
      <c r="P15" s="9"/>
      <c r="Q15" s="9"/>
      <c r="R15" s="4"/>
      <c r="S15" s="4"/>
      <c r="T15" s="4"/>
      <c r="U15" s="9"/>
    </row>
    <row r="16" spans="1:21" ht="13.5">
      <c r="A16" s="9">
        <f t="shared" si="0"/>
        <v>15</v>
      </c>
      <c r="B16" s="9"/>
      <c r="C16" s="3" t="s">
        <v>76</v>
      </c>
      <c r="D16" s="4"/>
      <c r="E16" s="4"/>
      <c r="F16" s="4"/>
      <c r="G16" s="4"/>
      <c r="H16" s="4" t="s">
        <v>26</v>
      </c>
      <c r="I16" s="7" t="s">
        <v>27</v>
      </c>
      <c r="J16" s="4"/>
      <c r="K16" s="4"/>
      <c r="L16" s="4"/>
      <c r="M16" s="4"/>
      <c r="N16" s="4"/>
      <c r="O16" s="4"/>
      <c r="P16" s="9"/>
      <c r="Q16" s="9"/>
      <c r="R16" s="4"/>
      <c r="S16" s="4"/>
      <c r="T16" s="4"/>
      <c r="U16" s="9"/>
    </row>
    <row r="17" spans="1:21" ht="13.5" hidden="1">
      <c r="A17" s="9">
        <v>13</v>
      </c>
      <c r="B17" s="9"/>
      <c r="C17" s="16" t="s">
        <v>77</v>
      </c>
      <c r="D17" s="4"/>
      <c r="E17" s="4"/>
      <c r="F17" s="4"/>
      <c r="G17" s="4"/>
      <c r="H17" s="4" t="s">
        <v>26</v>
      </c>
      <c r="I17" s="7" t="s">
        <v>78</v>
      </c>
      <c r="J17" s="4"/>
      <c r="K17" s="4"/>
      <c r="L17" s="4"/>
      <c r="M17" s="4"/>
      <c r="N17" s="4"/>
      <c r="O17" s="4"/>
      <c r="P17" s="9"/>
      <c r="Q17" s="9"/>
      <c r="R17" s="4"/>
      <c r="S17" s="4"/>
      <c r="T17" s="3" t="s">
        <v>79</v>
      </c>
      <c r="U17" s="9">
        <v>2024</v>
      </c>
    </row>
    <row r="18" spans="1:21" ht="13.5" hidden="1">
      <c r="A18" s="9">
        <f t="shared" ref="A18:A30" si="1">1+A17</f>
        <v>14</v>
      </c>
      <c r="B18" s="9"/>
      <c r="C18" s="4" t="s">
        <v>80</v>
      </c>
      <c r="D18" s="4" t="s">
        <v>81</v>
      </c>
      <c r="E18" s="4"/>
      <c r="F18" s="4"/>
      <c r="G18" s="4"/>
      <c r="H18" s="45" t="s">
        <v>82</v>
      </c>
      <c r="I18" s="9" t="s">
        <v>27</v>
      </c>
      <c r="J18" s="4"/>
      <c r="K18" s="4"/>
      <c r="L18" s="4"/>
      <c r="M18" s="4"/>
      <c r="N18" s="4"/>
      <c r="O18" s="4"/>
      <c r="P18" s="9"/>
      <c r="Q18" s="13">
        <v>45352</v>
      </c>
      <c r="R18" s="4"/>
      <c r="S18" s="4"/>
      <c r="T18" s="3" t="s">
        <v>83</v>
      </c>
      <c r="U18" s="9">
        <v>2024</v>
      </c>
    </row>
    <row r="19" spans="1:21" ht="13.5" hidden="1">
      <c r="A19" s="9">
        <f t="shared" si="1"/>
        <v>15</v>
      </c>
      <c r="B19" s="9"/>
      <c r="C19" s="4" t="s">
        <v>84</v>
      </c>
      <c r="D19" s="4"/>
      <c r="E19" s="4"/>
      <c r="F19" s="4" t="s">
        <v>85</v>
      </c>
      <c r="G19" s="4"/>
      <c r="H19" s="45" t="s">
        <v>82</v>
      </c>
      <c r="I19" s="9" t="s">
        <v>27</v>
      </c>
      <c r="J19" s="4"/>
      <c r="K19" s="4"/>
      <c r="L19" s="4"/>
      <c r="M19" s="4"/>
      <c r="N19" s="4"/>
      <c r="O19" s="4"/>
      <c r="P19" s="9"/>
      <c r="Q19" s="9"/>
      <c r="R19" s="4"/>
      <c r="S19" s="4"/>
      <c r="T19" s="4"/>
      <c r="U19" s="9">
        <v>2024</v>
      </c>
    </row>
    <row r="20" spans="1:21" ht="13.5" hidden="1">
      <c r="A20" s="9">
        <f t="shared" si="1"/>
        <v>16</v>
      </c>
      <c r="B20" s="9"/>
      <c r="C20" s="4" t="s">
        <v>86</v>
      </c>
      <c r="D20" s="4"/>
      <c r="E20" s="4"/>
      <c r="F20" s="4" t="s">
        <v>87</v>
      </c>
      <c r="G20" s="4"/>
      <c r="H20" s="45" t="s">
        <v>82</v>
      </c>
      <c r="I20" s="9" t="s">
        <v>27</v>
      </c>
      <c r="J20" s="4"/>
      <c r="K20" s="4"/>
      <c r="L20" s="4"/>
      <c r="M20" s="4"/>
      <c r="N20" s="4"/>
      <c r="O20" s="4"/>
      <c r="P20" s="9"/>
      <c r="Q20" s="9"/>
      <c r="R20" s="4"/>
      <c r="S20" s="4"/>
      <c r="T20" s="4"/>
      <c r="U20" s="9">
        <v>2024</v>
      </c>
    </row>
    <row r="21" spans="1:21" ht="13.5" hidden="1">
      <c r="A21" s="9">
        <f t="shared" si="1"/>
        <v>17</v>
      </c>
      <c r="B21" s="9"/>
      <c r="C21" s="4" t="s">
        <v>88</v>
      </c>
      <c r="D21" s="4"/>
      <c r="E21" s="4"/>
      <c r="F21" s="4" t="s">
        <v>89</v>
      </c>
      <c r="G21" s="4"/>
      <c r="H21" s="45" t="s">
        <v>82</v>
      </c>
      <c r="I21" s="9" t="s">
        <v>27</v>
      </c>
      <c r="J21" s="4"/>
      <c r="K21" s="4"/>
      <c r="L21" s="9"/>
      <c r="M21" s="9"/>
      <c r="N21" s="4"/>
      <c r="O21" s="4"/>
      <c r="P21" s="4"/>
      <c r="Q21" s="4"/>
      <c r="R21" s="9">
        <v>2024</v>
      </c>
      <c r="T21" s="2"/>
    </row>
    <row r="22" spans="1:21" ht="13.5" hidden="1">
      <c r="A22" s="9">
        <f t="shared" si="1"/>
        <v>18</v>
      </c>
      <c r="B22" s="9"/>
      <c r="C22" s="42" t="s">
        <v>90</v>
      </c>
      <c r="D22" s="4"/>
      <c r="E22" s="4"/>
      <c r="F22" s="4"/>
      <c r="G22" s="4"/>
      <c r="H22" s="45" t="s">
        <v>82</v>
      </c>
      <c r="I22" s="9" t="s">
        <v>27</v>
      </c>
      <c r="J22" s="4"/>
      <c r="K22" s="4"/>
      <c r="L22" s="4"/>
      <c r="M22" s="4"/>
      <c r="N22" s="4"/>
      <c r="O22" s="4"/>
      <c r="P22" s="9"/>
      <c r="Q22" s="9"/>
      <c r="R22" s="4"/>
      <c r="S22" s="4"/>
      <c r="T22" s="4"/>
      <c r="U22" s="9">
        <v>2024</v>
      </c>
    </row>
    <row r="23" spans="1:21" ht="51" hidden="1">
      <c r="A23" s="9">
        <f t="shared" si="1"/>
        <v>19</v>
      </c>
      <c r="B23" s="9"/>
      <c r="C23" s="4" t="s">
        <v>91</v>
      </c>
      <c r="D23" s="4" t="s">
        <v>92</v>
      </c>
      <c r="E23" s="4" t="s">
        <v>93</v>
      </c>
      <c r="F23" s="4" t="s">
        <v>94</v>
      </c>
      <c r="G23" s="4"/>
      <c r="H23" s="4" t="s">
        <v>95</v>
      </c>
      <c r="I23" s="9" t="s">
        <v>27</v>
      </c>
      <c r="J23" s="4"/>
      <c r="K23" s="4"/>
      <c r="L23" s="4"/>
      <c r="M23" s="4"/>
      <c r="N23" s="4"/>
      <c r="O23" s="4"/>
      <c r="P23" s="9"/>
      <c r="Q23" s="9"/>
      <c r="R23" s="4"/>
      <c r="S23" s="3" t="s">
        <v>96</v>
      </c>
      <c r="T23" s="4"/>
      <c r="U23" s="9">
        <v>2024</v>
      </c>
    </row>
    <row r="24" spans="1:21" ht="39.75" hidden="1">
      <c r="A24" s="9">
        <f t="shared" si="1"/>
        <v>20</v>
      </c>
      <c r="B24" s="9"/>
      <c r="C24" s="3" t="s">
        <v>97</v>
      </c>
      <c r="D24" s="3" t="s">
        <v>98</v>
      </c>
      <c r="E24" s="4"/>
      <c r="F24" s="4" t="s">
        <v>99</v>
      </c>
      <c r="G24" s="4"/>
      <c r="H24" s="4" t="s">
        <v>97</v>
      </c>
      <c r="I24" s="9" t="s">
        <v>27</v>
      </c>
      <c r="J24" s="4"/>
      <c r="K24" s="4"/>
      <c r="L24" s="4"/>
      <c r="M24" s="4"/>
      <c r="N24" s="4"/>
      <c r="O24" s="4"/>
      <c r="P24" s="9"/>
      <c r="Q24" s="9"/>
      <c r="R24" s="4"/>
      <c r="S24" s="3" t="s">
        <v>100</v>
      </c>
      <c r="T24" s="4"/>
      <c r="U24" s="9">
        <v>2024</v>
      </c>
    </row>
    <row r="25" spans="1:21" ht="25.5" hidden="1">
      <c r="A25" s="9">
        <f t="shared" si="1"/>
        <v>21</v>
      </c>
      <c r="B25" s="9"/>
      <c r="C25" s="4" t="s">
        <v>101</v>
      </c>
      <c r="D25" s="4"/>
      <c r="E25" s="4" t="s">
        <v>102</v>
      </c>
      <c r="F25" s="4" t="s">
        <v>103</v>
      </c>
      <c r="G25" s="4"/>
      <c r="H25" s="46" t="s">
        <v>104</v>
      </c>
      <c r="I25" s="9" t="s">
        <v>27</v>
      </c>
      <c r="J25" s="4"/>
      <c r="K25" s="4"/>
      <c r="L25" s="4"/>
      <c r="M25" s="4"/>
      <c r="N25" s="4"/>
      <c r="O25" s="4"/>
      <c r="P25" s="9"/>
      <c r="Q25" s="9"/>
      <c r="R25" s="4"/>
      <c r="S25" s="4"/>
      <c r="T25" s="4"/>
      <c r="U25" s="9">
        <v>2024</v>
      </c>
    </row>
    <row r="26" spans="1:21" ht="25.5" hidden="1">
      <c r="A26" s="9">
        <f t="shared" si="1"/>
        <v>22</v>
      </c>
      <c r="B26" s="9"/>
      <c r="C26" s="4" t="s">
        <v>105</v>
      </c>
      <c r="D26" s="4"/>
      <c r="E26" s="4" t="s">
        <v>102</v>
      </c>
      <c r="F26" s="4" t="s">
        <v>106</v>
      </c>
      <c r="G26" s="4"/>
      <c r="H26" s="4" t="s">
        <v>104</v>
      </c>
      <c r="I26" s="9" t="s">
        <v>27</v>
      </c>
      <c r="J26" s="4"/>
      <c r="K26" s="4"/>
      <c r="L26" s="4"/>
      <c r="M26" s="4"/>
      <c r="N26" s="4"/>
      <c r="O26" s="4"/>
      <c r="P26" s="9"/>
      <c r="Q26" s="9"/>
      <c r="R26" s="4"/>
      <c r="S26" s="3" t="s">
        <v>107</v>
      </c>
      <c r="T26" s="4"/>
      <c r="U26" s="9">
        <v>2024</v>
      </c>
    </row>
    <row r="27" spans="1:21" ht="14.25" hidden="1">
      <c r="A27" s="9">
        <f t="shared" si="1"/>
        <v>23</v>
      </c>
      <c r="B27" s="9"/>
      <c r="C27" s="4" t="s">
        <v>108</v>
      </c>
      <c r="D27" s="4"/>
      <c r="E27" s="17" t="s">
        <v>109</v>
      </c>
      <c r="F27" s="3" t="s">
        <v>110</v>
      </c>
      <c r="G27" s="4"/>
      <c r="H27" s="4" t="s">
        <v>104</v>
      </c>
      <c r="I27" s="9" t="s">
        <v>27</v>
      </c>
      <c r="J27" s="4"/>
      <c r="K27" s="4"/>
      <c r="L27" s="4"/>
      <c r="M27" s="4"/>
      <c r="N27" s="4"/>
      <c r="O27" s="4"/>
      <c r="P27" s="9"/>
      <c r="Q27" s="9"/>
      <c r="R27" s="4"/>
      <c r="S27" s="4"/>
      <c r="T27" s="4"/>
      <c r="U27" s="9">
        <v>2024</v>
      </c>
    </row>
    <row r="28" spans="1:21" ht="28.5" hidden="1">
      <c r="A28" s="9">
        <f t="shared" si="1"/>
        <v>24</v>
      </c>
      <c r="B28" s="9"/>
      <c r="C28" s="4" t="s">
        <v>111</v>
      </c>
      <c r="D28" s="4"/>
      <c r="E28" s="4" t="s">
        <v>102</v>
      </c>
      <c r="F28" s="3" t="s">
        <v>110</v>
      </c>
      <c r="G28" s="4"/>
      <c r="H28" s="4" t="s">
        <v>104</v>
      </c>
      <c r="I28" s="9" t="s">
        <v>27</v>
      </c>
      <c r="J28" s="4"/>
      <c r="K28" s="4"/>
      <c r="L28" s="4"/>
      <c r="M28" s="4"/>
      <c r="N28" s="4"/>
      <c r="O28" s="4"/>
      <c r="P28" s="9"/>
      <c r="Q28" s="9"/>
      <c r="R28" s="4"/>
      <c r="S28" s="4"/>
      <c r="T28" s="4"/>
      <c r="U28" s="9">
        <v>2024</v>
      </c>
    </row>
    <row r="29" spans="1:21" ht="25.5" hidden="1">
      <c r="A29" s="9">
        <f t="shared" si="1"/>
        <v>25</v>
      </c>
      <c r="B29" s="9"/>
      <c r="C29" s="4" t="s">
        <v>112</v>
      </c>
      <c r="D29" s="4" t="s">
        <v>113</v>
      </c>
      <c r="E29" s="4" t="s">
        <v>52</v>
      </c>
      <c r="F29" s="4" t="s">
        <v>53</v>
      </c>
      <c r="G29" s="4"/>
      <c r="H29" s="40" t="s">
        <v>55</v>
      </c>
      <c r="I29" s="7" t="s">
        <v>27</v>
      </c>
      <c r="J29" s="4"/>
      <c r="K29" s="4"/>
      <c r="L29" s="4"/>
      <c r="M29" s="4" t="s">
        <v>114</v>
      </c>
      <c r="N29" s="4"/>
      <c r="O29" s="4"/>
      <c r="P29" s="9"/>
      <c r="Q29" s="9"/>
      <c r="R29" s="4"/>
      <c r="S29" s="4"/>
      <c r="T29" s="4" t="s">
        <v>115</v>
      </c>
      <c r="U29" s="9">
        <v>2023</v>
      </c>
    </row>
    <row r="30" spans="1:21" ht="13.5" hidden="1">
      <c r="A30" s="9">
        <f t="shared" si="1"/>
        <v>26</v>
      </c>
      <c r="B30" s="9"/>
      <c r="C30" s="4"/>
      <c r="D30" s="4"/>
      <c r="E30" s="4"/>
      <c r="F30" s="4"/>
      <c r="G30" s="4"/>
      <c r="H30" s="40"/>
      <c r="I30" s="7"/>
      <c r="J30" s="4"/>
      <c r="K30" s="4"/>
      <c r="L30" s="4"/>
      <c r="M30" s="4"/>
      <c r="N30" s="4"/>
      <c r="O30" s="4"/>
      <c r="P30" s="9"/>
      <c r="Q30" s="9"/>
      <c r="R30" s="4"/>
      <c r="S30" s="4"/>
      <c r="T30" s="4"/>
      <c r="U30" s="9"/>
    </row>
    <row r="31" spans="1:21" ht="13.5" hidden="1">
      <c r="A31" s="9">
        <v>27</v>
      </c>
      <c r="B31" s="9"/>
      <c r="C31" s="16" t="s">
        <v>116</v>
      </c>
      <c r="D31" s="4"/>
      <c r="E31" s="4"/>
      <c r="F31" s="4" t="s">
        <v>117</v>
      </c>
      <c r="G31" s="4"/>
      <c r="H31" s="4"/>
      <c r="I31" s="7" t="s">
        <v>78</v>
      </c>
      <c r="J31" s="4"/>
      <c r="K31" s="4"/>
      <c r="L31" s="4"/>
      <c r="M31" s="4"/>
      <c r="N31" s="4"/>
      <c r="O31" s="4"/>
      <c r="P31" s="9"/>
      <c r="Q31" s="9"/>
      <c r="R31" s="4"/>
      <c r="S31" s="4"/>
      <c r="T31" s="3" t="s">
        <v>79</v>
      </c>
      <c r="U31" s="9"/>
    </row>
    <row r="32" spans="1:21" ht="13.5" hidden="1">
      <c r="A32" s="9">
        <v>28</v>
      </c>
      <c r="B32" s="9"/>
      <c r="C32" s="16" t="s">
        <v>118</v>
      </c>
      <c r="D32" s="4"/>
      <c r="E32" s="4"/>
      <c r="F32" s="4" t="s">
        <v>119</v>
      </c>
      <c r="G32" s="4"/>
      <c r="H32" s="4"/>
      <c r="I32" s="7" t="s">
        <v>78</v>
      </c>
      <c r="J32" s="4"/>
      <c r="K32" s="4"/>
      <c r="L32" s="4"/>
      <c r="M32" s="4"/>
      <c r="N32" s="4"/>
      <c r="O32" s="4"/>
      <c r="P32" s="9"/>
      <c r="Q32" s="9"/>
      <c r="R32" s="4"/>
      <c r="S32" s="4"/>
      <c r="T32" s="3" t="s">
        <v>79</v>
      </c>
      <c r="U32" s="9"/>
    </row>
    <row r="33" spans="1:21" ht="14.25" hidden="1">
      <c r="A33" s="9">
        <v>29</v>
      </c>
      <c r="B33" s="9"/>
      <c r="C33" s="16" t="s">
        <v>120</v>
      </c>
      <c r="D33" s="4"/>
      <c r="E33" s="4"/>
      <c r="F33" s="4" t="s">
        <v>121</v>
      </c>
      <c r="G33" s="4"/>
      <c r="H33" s="4"/>
      <c r="I33" s="7" t="s">
        <v>78</v>
      </c>
      <c r="J33" s="4"/>
      <c r="K33" s="4"/>
      <c r="L33" s="4"/>
      <c r="M33" s="4"/>
      <c r="N33" s="4"/>
      <c r="O33" s="4"/>
      <c r="P33" s="9"/>
      <c r="Q33" s="9"/>
      <c r="R33" s="4"/>
      <c r="S33" s="4"/>
      <c r="T33" s="3" t="s">
        <v>79</v>
      </c>
      <c r="U33" s="9"/>
    </row>
    <row r="34" spans="1:21" ht="13.5" hidden="1">
      <c r="A34" s="9">
        <v>30</v>
      </c>
      <c r="B34" s="9"/>
      <c r="C34" s="16" t="s">
        <v>122</v>
      </c>
      <c r="D34" s="4"/>
      <c r="E34" s="4"/>
      <c r="F34" s="4"/>
      <c r="G34" s="4"/>
      <c r="H34" s="4"/>
      <c r="I34" s="7" t="s">
        <v>78</v>
      </c>
      <c r="J34" s="4"/>
      <c r="K34" s="4"/>
      <c r="L34" s="4"/>
      <c r="M34" s="4"/>
      <c r="N34" s="4"/>
      <c r="O34" s="4"/>
      <c r="P34" s="9"/>
      <c r="Q34" s="9"/>
      <c r="R34" s="4"/>
      <c r="S34" s="4"/>
      <c r="T34" s="3" t="s">
        <v>79</v>
      </c>
      <c r="U34" s="9"/>
    </row>
  </sheetData>
  <phoneticPr fontId="11" type="noConversion"/>
  <conditionalFormatting sqref="J21:K21">
    <cfRule type="cellIs" dxfId="171" priority="1" operator="equal">
      <formula>"已上線"</formula>
    </cfRule>
    <cfRule type="cellIs" dxfId="170" priority="2" operator="equal">
      <formula>"暫緩"</formula>
    </cfRule>
  </conditionalFormatting>
  <conditionalFormatting sqref="M2:O20 M22:O34">
    <cfRule type="cellIs" dxfId="169" priority="3" operator="equal">
      <formula>"已上線"</formula>
    </cfRule>
    <cfRule type="cellIs" dxfId="168" priority="4" operator="equal">
      <formula>"暫緩"</formula>
    </cfRule>
  </conditionalFormatting>
  <dataValidations count="4">
    <dataValidation type="list" allowBlank="1" showErrorMessage="1" sqref="M3:M6 M8:M12 M23:M25 M17:M20 M27:M33" xr:uid="{00000000-0002-0000-0000-000000000000}">
      <formula1>"評估中,規劃中,實作中,測試中,已上線"</formula1>
    </dataValidation>
    <dataValidation type="list" allowBlank="1" showErrorMessage="1" sqref="J2:J6" xr:uid="{00000000-0002-0000-0000-000001000000}">
      <formula1>"行銷/通路,應用/服務,產品/核心,數據/分析,TBD"</formula1>
    </dataValidation>
    <dataValidation type="list" allowBlank="1" showErrorMessage="1" sqref="K2:K6" xr:uid="{00000000-0002-0000-0000-000002000000}">
      <formula1>"Cloud Migration,Cloud Native,TBD"</formula1>
    </dataValidation>
    <dataValidation type="list" allowBlank="1" showErrorMessage="1" sqref="M7 M13:M16 M22 M26 M34 M2 J21" xr:uid="{00000000-0002-0000-0000-000003000000}">
      <formula1>"評估中,規劃中,實作中,測試中,已上線,暫緩"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X45"/>
  <sheetViews>
    <sheetView zoomScale="130" zoomScaleNormal="130" workbookViewId="0">
      <selection activeCell="E38" sqref="E38"/>
    </sheetView>
  </sheetViews>
  <sheetFormatPr defaultColWidth="19.42578125" defaultRowHeight="12.75"/>
  <cols>
    <col min="1" max="1" width="8.85546875" style="1" bestFit="1" customWidth="1"/>
    <col min="2" max="2" width="11.7109375" style="1" bestFit="1" customWidth="1"/>
    <col min="3" max="4" width="19.42578125" style="6"/>
    <col min="5" max="5" width="19.28515625" style="6" bestFit="1" customWidth="1"/>
    <col min="6" max="6" width="6.85546875" style="6" customWidth="1"/>
    <col min="7" max="7" width="7.7109375" style="6" customWidth="1"/>
    <col min="8" max="8" width="0" hidden="1" customWidth="1"/>
    <col min="9" max="9" width="10" style="6" bestFit="1" customWidth="1"/>
    <col min="10" max="10" width="10.85546875" style="2" customWidth="1"/>
    <col min="11" max="11" width="0" style="1" hidden="1" customWidth="1"/>
    <col min="12" max="14" width="0" style="2" hidden="1" customWidth="1"/>
    <col min="15" max="15" width="9" style="2" customWidth="1"/>
    <col min="16" max="16" width="14.28515625" style="1" customWidth="1"/>
    <col min="17" max="17" width="9.42578125" style="1" customWidth="1"/>
    <col min="18" max="18" width="8.140625" style="1" customWidth="1"/>
    <col min="19" max="19" width="13" style="1" customWidth="1"/>
    <col min="20" max="20" width="10.85546875" style="1" customWidth="1"/>
    <col min="21" max="21" width="8.85546875" style="2" customWidth="1"/>
    <col min="22" max="22" width="13.28515625" style="2" bestFit="1" customWidth="1"/>
    <col min="23" max="23" width="25.7109375" style="2" customWidth="1"/>
    <col min="24" max="24" width="13.28515625" style="1" bestFit="1" customWidth="1"/>
    <col min="25" max="16384" width="19.42578125" style="2"/>
  </cols>
  <sheetData>
    <row r="1" spans="1:24" s="7" customFormat="1" ht="36.950000000000003" customHeight="1">
      <c r="A1" s="9" t="s">
        <v>0</v>
      </c>
      <c r="B1" s="7" t="s">
        <v>1</v>
      </c>
      <c r="C1" s="9" t="s">
        <v>2</v>
      </c>
      <c r="D1" s="9" t="s">
        <v>3</v>
      </c>
      <c r="E1" s="9" t="s">
        <v>4</v>
      </c>
      <c r="F1" s="7" t="s">
        <v>123</v>
      </c>
      <c r="G1" s="7" t="s">
        <v>124</v>
      </c>
      <c r="H1" s="9" t="s">
        <v>6</v>
      </c>
      <c r="I1" s="9" t="s">
        <v>7</v>
      </c>
      <c r="J1" s="43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7" t="s">
        <v>13</v>
      </c>
      <c r="P1" s="44" t="s">
        <v>14</v>
      </c>
      <c r="Q1" s="44" t="s">
        <v>125</v>
      </c>
      <c r="R1" s="44" t="s">
        <v>126</v>
      </c>
      <c r="S1" s="9" t="s">
        <v>15</v>
      </c>
      <c r="T1" s="9" t="s">
        <v>16</v>
      </c>
      <c r="U1" s="44" t="s">
        <v>17</v>
      </c>
      <c r="V1" s="9" t="s">
        <v>18</v>
      </c>
      <c r="W1" s="9" t="s">
        <v>19</v>
      </c>
      <c r="X1" s="9" t="s">
        <v>20</v>
      </c>
    </row>
    <row r="2" spans="1:24" ht="51" hidden="1">
      <c r="A2" s="9">
        <v>1</v>
      </c>
      <c r="B2" s="9">
        <v>2301</v>
      </c>
      <c r="C2" s="4" t="s">
        <v>21</v>
      </c>
      <c r="D2" s="4" t="s">
        <v>22</v>
      </c>
      <c r="E2" s="4" t="s">
        <v>23</v>
      </c>
      <c r="F2" s="4" t="s">
        <v>24</v>
      </c>
      <c r="G2" s="41" t="s">
        <v>127</v>
      </c>
      <c r="H2" s="17" t="s">
        <v>25</v>
      </c>
      <c r="I2" s="4" t="s">
        <v>26</v>
      </c>
      <c r="J2" s="9" t="s">
        <v>27</v>
      </c>
      <c r="K2" s="4" t="s">
        <v>28</v>
      </c>
      <c r="L2" s="4" t="s">
        <v>29</v>
      </c>
      <c r="M2" s="4"/>
      <c r="N2" s="4" t="s">
        <v>30</v>
      </c>
      <c r="O2" s="39"/>
      <c r="P2" s="4" t="s">
        <v>128</v>
      </c>
      <c r="Q2" s="13">
        <v>45292</v>
      </c>
      <c r="R2" s="4"/>
      <c r="S2" s="11">
        <v>44866</v>
      </c>
      <c r="T2" s="9"/>
      <c r="U2" s="4"/>
      <c r="V2" s="4" t="s">
        <v>31</v>
      </c>
      <c r="W2" s="14" t="s">
        <v>32</v>
      </c>
      <c r="X2" s="9">
        <v>2024</v>
      </c>
    </row>
    <row r="3" spans="1:24" ht="38.25" hidden="1">
      <c r="A3" s="9">
        <f>1+A2</f>
        <v>2</v>
      </c>
      <c r="B3" s="9">
        <v>2302</v>
      </c>
      <c r="C3" s="4" t="s">
        <v>33</v>
      </c>
      <c r="D3" s="4"/>
      <c r="E3" s="4" t="s">
        <v>34</v>
      </c>
      <c r="F3" s="42" t="s">
        <v>129</v>
      </c>
      <c r="G3" s="45" t="s">
        <v>130</v>
      </c>
      <c r="H3" s="17" t="s">
        <v>25</v>
      </c>
      <c r="I3" s="4" t="s">
        <v>26</v>
      </c>
      <c r="J3" s="9" t="s">
        <v>27</v>
      </c>
      <c r="K3" s="4" t="s">
        <v>28</v>
      </c>
      <c r="L3" s="4" t="s">
        <v>29</v>
      </c>
      <c r="M3" s="4"/>
      <c r="N3" s="4" t="s">
        <v>36</v>
      </c>
      <c r="O3" s="4"/>
      <c r="P3" s="3" t="s">
        <v>131</v>
      </c>
      <c r="Q3" s="13">
        <v>45292</v>
      </c>
      <c r="R3" s="3"/>
      <c r="S3" s="12">
        <v>44866</v>
      </c>
      <c r="T3" s="13">
        <v>45292</v>
      </c>
      <c r="U3" s="4"/>
      <c r="V3" s="4" t="s">
        <v>31</v>
      </c>
      <c r="W3" s="4" t="s">
        <v>37</v>
      </c>
      <c r="X3" s="9">
        <v>2024</v>
      </c>
    </row>
    <row r="4" spans="1:24" ht="54" hidden="1">
      <c r="A4" s="9">
        <f t="shared" ref="A4:A16" si="0">1+A3</f>
        <v>3</v>
      </c>
      <c r="B4" s="9">
        <v>2303</v>
      </c>
      <c r="C4" s="28" t="s">
        <v>38</v>
      </c>
      <c r="D4" s="4"/>
      <c r="E4" s="4" t="s">
        <v>39</v>
      </c>
      <c r="F4" s="4" t="s">
        <v>40</v>
      </c>
      <c r="G4" s="41" t="s">
        <v>132</v>
      </c>
      <c r="H4" s="17" t="s">
        <v>25</v>
      </c>
      <c r="I4" s="4" t="s">
        <v>26</v>
      </c>
      <c r="J4" s="9" t="s">
        <v>27</v>
      </c>
      <c r="K4" s="4" t="s">
        <v>28</v>
      </c>
      <c r="L4" s="4" t="s">
        <v>41</v>
      </c>
      <c r="M4" s="4"/>
      <c r="N4" s="4" t="s">
        <v>42</v>
      </c>
      <c r="O4" s="38" t="s">
        <v>43</v>
      </c>
      <c r="P4" s="4" t="s">
        <v>133</v>
      </c>
      <c r="Q4" s="13">
        <v>45292</v>
      </c>
      <c r="R4" s="13">
        <v>45352</v>
      </c>
      <c r="S4" s="12">
        <v>44866</v>
      </c>
      <c r="T4" s="15" t="s">
        <v>44</v>
      </c>
      <c r="U4" s="13">
        <v>45352</v>
      </c>
      <c r="V4" s="4" t="s">
        <v>31</v>
      </c>
      <c r="W4" s="3" t="s">
        <v>134</v>
      </c>
      <c r="X4" s="9">
        <v>2024</v>
      </c>
    </row>
    <row r="5" spans="1:24" ht="12" hidden="1" customHeight="1">
      <c r="A5" s="9">
        <f t="shared" si="0"/>
        <v>4</v>
      </c>
      <c r="B5" s="9">
        <v>2304</v>
      </c>
      <c r="C5" s="17" t="s">
        <v>46</v>
      </c>
      <c r="D5" s="4"/>
      <c r="E5" s="4" t="s">
        <v>34</v>
      </c>
      <c r="F5" s="42" t="s">
        <v>135</v>
      </c>
      <c r="G5" s="41" t="s">
        <v>136</v>
      </c>
      <c r="H5" s="3" t="s">
        <v>48</v>
      </c>
      <c r="I5" s="4" t="s">
        <v>26</v>
      </c>
      <c r="J5" s="9" t="s">
        <v>27</v>
      </c>
      <c r="K5" s="4" t="s">
        <v>28</v>
      </c>
      <c r="L5" s="4" t="s">
        <v>41</v>
      </c>
      <c r="M5" s="4"/>
      <c r="N5" s="4" t="s">
        <v>42</v>
      </c>
      <c r="O5" s="4"/>
      <c r="P5" s="3" t="s">
        <v>128</v>
      </c>
      <c r="Q5" s="13">
        <v>45292</v>
      </c>
      <c r="R5" s="3"/>
      <c r="S5" s="12">
        <v>44866</v>
      </c>
      <c r="T5" s="9"/>
      <c r="U5" s="4"/>
      <c r="V5" s="4" t="s">
        <v>31</v>
      </c>
      <c r="W5" s="3" t="s">
        <v>49</v>
      </c>
      <c r="X5" s="9">
        <v>2024</v>
      </c>
    </row>
    <row r="6" spans="1:24" ht="84" hidden="1">
      <c r="A6" s="9">
        <f t="shared" si="0"/>
        <v>5</v>
      </c>
      <c r="B6" s="9"/>
      <c r="C6" s="28" t="s">
        <v>50</v>
      </c>
      <c r="D6" s="4" t="s">
        <v>51</v>
      </c>
      <c r="E6" s="4" t="s">
        <v>52</v>
      </c>
      <c r="F6" s="4" t="s">
        <v>53</v>
      </c>
      <c r="G6" s="4"/>
      <c r="H6" s="3" t="s">
        <v>54</v>
      </c>
      <c r="I6" s="4" t="s">
        <v>55</v>
      </c>
      <c r="J6" s="9" t="s">
        <v>27</v>
      </c>
      <c r="K6" s="4" t="s">
        <v>28</v>
      </c>
      <c r="L6" s="4" t="s">
        <v>29</v>
      </c>
      <c r="M6" s="4"/>
      <c r="N6" s="4" t="s">
        <v>36</v>
      </c>
      <c r="O6" s="4"/>
      <c r="P6" s="3" t="s">
        <v>137</v>
      </c>
      <c r="Q6" s="12">
        <v>45292</v>
      </c>
      <c r="R6" s="4"/>
      <c r="S6" s="12">
        <v>44835</v>
      </c>
      <c r="T6" s="13">
        <v>45047</v>
      </c>
      <c r="U6" s="4"/>
      <c r="V6" s="4" t="s">
        <v>31</v>
      </c>
      <c r="W6" s="14" t="s">
        <v>56</v>
      </c>
      <c r="X6" s="9">
        <v>2024</v>
      </c>
    </row>
    <row r="7" spans="1:24">
      <c r="A7" s="9">
        <f t="shared" si="0"/>
        <v>6</v>
      </c>
      <c r="B7" s="9"/>
      <c r="C7" s="4" t="s">
        <v>57</v>
      </c>
      <c r="D7" s="4" t="s">
        <v>58</v>
      </c>
      <c r="E7" s="4" t="s">
        <v>52</v>
      </c>
      <c r="F7" s="4" t="s">
        <v>59</v>
      </c>
      <c r="G7" s="4"/>
      <c r="H7" s="4"/>
      <c r="I7" s="4" t="s">
        <v>55</v>
      </c>
      <c r="J7" s="7" t="s">
        <v>78</v>
      </c>
      <c r="K7" s="4"/>
      <c r="L7" s="4"/>
      <c r="M7" s="4"/>
      <c r="N7" s="4"/>
      <c r="O7" s="4"/>
      <c r="P7" s="3" t="s">
        <v>138</v>
      </c>
      <c r="Q7" s="12">
        <v>45292</v>
      </c>
      <c r="R7" s="4"/>
      <c r="S7" s="9"/>
      <c r="T7" s="9"/>
      <c r="U7" s="4"/>
      <c r="V7" s="4"/>
      <c r="W7" s="3" t="s">
        <v>60</v>
      </c>
      <c r="X7" s="9">
        <v>2024</v>
      </c>
    </row>
    <row r="8" spans="1:24" ht="13.5" hidden="1">
      <c r="A8" s="9">
        <f t="shared" si="0"/>
        <v>7</v>
      </c>
      <c r="B8" s="9"/>
      <c r="C8" s="3" t="s">
        <v>139</v>
      </c>
      <c r="D8" s="4"/>
      <c r="E8" s="4" t="s">
        <v>52</v>
      </c>
      <c r="F8" s="4" t="s">
        <v>62</v>
      </c>
      <c r="G8" s="4"/>
      <c r="H8" s="4"/>
      <c r="I8" s="4" t="s">
        <v>55</v>
      </c>
      <c r="J8" s="9" t="s">
        <v>27</v>
      </c>
      <c r="K8" s="4"/>
      <c r="L8" s="4"/>
      <c r="M8" s="4"/>
      <c r="N8" s="4" t="s">
        <v>42</v>
      </c>
      <c r="O8" s="4"/>
      <c r="P8" s="3" t="s">
        <v>140</v>
      </c>
      <c r="Q8" s="12">
        <v>45292</v>
      </c>
      <c r="R8" s="4"/>
      <c r="S8" s="9"/>
      <c r="T8" s="9"/>
      <c r="U8" s="4"/>
      <c r="V8" s="4"/>
      <c r="W8" s="4"/>
      <c r="X8" s="9">
        <v>2024</v>
      </c>
    </row>
    <row r="9" spans="1:24" ht="25.5" hidden="1">
      <c r="A9" s="9">
        <f t="shared" si="0"/>
        <v>8</v>
      </c>
      <c r="B9" s="9"/>
      <c r="C9" s="4" t="s">
        <v>63</v>
      </c>
      <c r="D9" s="4"/>
      <c r="E9" s="4" t="s">
        <v>52</v>
      </c>
      <c r="F9" s="4" t="s">
        <v>64</v>
      </c>
      <c r="G9" s="4"/>
      <c r="H9" s="4"/>
      <c r="I9" s="4" t="s">
        <v>55</v>
      </c>
      <c r="J9" s="9" t="s">
        <v>27</v>
      </c>
      <c r="K9" s="4"/>
      <c r="L9" s="4"/>
      <c r="M9" s="4"/>
      <c r="N9" s="4"/>
      <c r="O9" s="4"/>
      <c r="P9" s="3" t="s">
        <v>140</v>
      </c>
      <c r="Q9" s="12">
        <v>45292</v>
      </c>
      <c r="R9" s="4"/>
      <c r="S9" s="34">
        <v>45292</v>
      </c>
      <c r="T9" s="9"/>
      <c r="U9" s="4"/>
      <c r="V9" s="4"/>
      <c r="W9" s="4"/>
      <c r="X9" s="9">
        <v>2024</v>
      </c>
    </row>
    <row r="10" spans="1:24" hidden="1">
      <c r="A10" s="9">
        <f t="shared" si="0"/>
        <v>9</v>
      </c>
      <c r="B10" s="9"/>
      <c r="C10" s="4" t="s">
        <v>65</v>
      </c>
      <c r="D10" s="4"/>
      <c r="E10" s="4" t="s">
        <v>52</v>
      </c>
      <c r="F10" s="4" t="s">
        <v>66</v>
      </c>
      <c r="G10" s="4"/>
      <c r="H10" s="4"/>
      <c r="I10" s="4" t="s">
        <v>55</v>
      </c>
      <c r="J10" s="9" t="s">
        <v>27</v>
      </c>
      <c r="K10" s="4"/>
      <c r="L10" s="4"/>
      <c r="M10" s="4"/>
      <c r="N10" s="4"/>
      <c r="O10" s="4"/>
      <c r="P10" s="3" t="s">
        <v>137</v>
      </c>
      <c r="Q10" s="12">
        <v>45292</v>
      </c>
      <c r="R10" s="4"/>
      <c r="S10" s="34">
        <v>45292</v>
      </c>
      <c r="T10" s="9"/>
      <c r="U10" s="4"/>
      <c r="V10" s="4"/>
      <c r="W10" s="4"/>
      <c r="X10" s="9">
        <v>2024</v>
      </c>
    </row>
    <row r="11" spans="1:24" ht="13.5" hidden="1">
      <c r="A11" s="9">
        <f t="shared" si="0"/>
        <v>10</v>
      </c>
      <c r="B11" s="9"/>
      <c r="C11" s="41" t="s">
        <v>67</v>
      </c>
      <c r="D11" s="4"/>
      <c r="E11" s="4" t="s">
        <v>52</v>
      </c>
      <c r="F11" s="4" t="s">
        <v>68</v>
      </c>
      <c r="G11" s="4"/>
      <c r="H11" s="4"/>
      <c r="I11" s="4" t="s">
        <v>55</v>
      </c>
      <c r="J11" s="7" t="s">
        <v>78</v>
      </c>
      <c r="K11" s="4"/>
      <c r="L11" s="4"/>
      <c r="M11" s="4"/>
      <c r="N11" s="4"/>
      <c r="O11" s="4"/>
      <c r="P11" s="3" t="s">
        <v>141</v>
      </c>
      <c r="Q11" s="12">
        <v>45292</v>
      </c>
      <c r="R11" s="4"/>
      <c r="S11" s="9"/>
      <c r="T11" s="9"/>
      <c r="U11" s="4"/>
      <c r="V11" s="4"/>
      <c r="W11" s="4"/>
      <c r="X11" s="9">
        <v>2024</v>
      </c>
    </row>
    <row r="12" spans="1:24" ht="25.5" hidden="1">
      <c r="A12" s="9">
        <f t="shared" si="0"/>
        <v>11</v>
      </c>
      <c r="B12" s="9">
        <v>2401</v>
      </c>
      <c r="C12" s="4" t="s">
        <v>69</v>
      </c>
      <c r="D12" s="4"/>
      <c r="E12" s="4"/>
      <c r="F12" s="4" t="s">
        <v>70</v>
      </c>
      <c r="G12" s="45" t="s">
        <v>142</v>
      </c>
      <c r="H12" s="4"/>
      <c r="I12" s="4" t="s">
        <v>26</v>
      </c>
      <c r="J12" s="9" t="s">
        <v>27</v>
      </c>
      <c r="K12" s="4"/>
      <c r="L12" s="4"/>
      <c r="M12" s="4"/>
      <c r="N12" s="4"/>
      <c r="O12" s="4"/>
      <c r="P12" s="3" t="s">
        <v>128</v>
      </c>
      <c r="Q12" s="12">
        <v>45292</v>
      </c>
      <c r="R12" s="3"/>
      <c r="S12" s="9"/>
      <c r="T12" s="9"/>
      <c r="U12" s="4"/>
      <c r="V12" s="4"/>
      <c r="W12" s="4"/>
      <c r="X12" s="9">
        <v>2024</v>
      </c>
    </row>
    <row r="13" spans="1:24" ht="13.5" hidden="1">
      <c r="A13" s="9">
        <f t="shared" si="0"/>
        <v>12</v>
      </c>
      <c r="B13" s="9">
        <v>2402</v>
      </c>
      <c r="C13" s="3" t="s">
        <v>71</v>
      </c>
      <c r="D13" s="4"/>
      <c r="E13" s="4"/>
      <c r="F13" s="4" t="s">
        <v>72</v>
      </c>
      <c r="G13" s="45" t="s">
        <v>142</v>
      </c>
      <c r="H13" s="4"/>
      <c r="I13" s="4" t="s">
        <v>26</v>
      </c>
      <c r="J13" s="9" t="s">
        <v>27</v>
      </c>
      <c r="K13" s="4"/>
      <c r="L13" s="4"/>
      <c r="M13" s="4"/>
      <c r="N13" s="4"/>
      <c r="O13" s="4"/>
      <c r="P13" s="3" t="s">
        <v>143</v>
      </c>
      <c r="Q13" s="12">
        <v>45292</v>
      </c>
      <c r="R13" s="3"/>
      <c r="S13" s="9"/>
      <c r="T13" s="9"/>
      <c r="U13" s="4"/>
      <c r="V13" s="4"/>
      <c r="W13" s="4"/>
      <c r="X13" s="9">
        <v>2024</v>
      </c>
    </row>
    <row r="14" spans="1:24" ht="13.5" hidden="1">
      <c r="A14" s="9">
        <f t="shared" si="0"/>
        <v>13</v>
      </c>
      <c r="B14" s="9">
        <v>2403</v>
      </c>
      <c r="C14" s="3" t="s">
        <v>73</v>
      </c>
      <c r="D14" s="4"/>
      <c r="E14" s="4"/>
      <c r="F14" s="4" t="s">
        <v>74</v>
      </c>
      <c r="G14" s="41" t="s">
        <v>144</v>
      </c>
      <c r="H14" s="4"/>
      <c r="I14" s="4" t="s">
        <v>26</v>
      </c>
      <c r="J14" s="7" t="s">
        <v>27</v>
      </c>
      <c r="K14" s="4"/>
      <c r="L14" s="4"/>
      <c r="M14" s="4"/>
      <c r="N14" s="4"/>
      <c r="O14" s="4"/>
      <c r="P14" s="3" t="s">
        <v>128</v>
      </c>
      <c r="Q14" s="12">
        <v>45292</v>
      </c>
      <c r="R14" s="3"/>
      <c r="S14" s="9"/>
      <c r="T14" s="9"/>
      <c r="U14" s="4"/>
      <c r="V14" s="4"/>
      <c r="W14" s="4"/>
      <c r="X14" s="9"/>
    </row>
    <row r="15" spans="1:24" ht="13.5" hidden="1">
      <c r="A15" s="9">
        <f t="shared" si="0"/>
        <v>14</v>
      </c>
      <c r="B15" s="9"/>
      <c r="C15" s="40" t="s">
        <v>75</v>
      </c>
      <c r="D15" s="4"/>
      <c r="E15" s="4"/>
      <c r="F15" s="4"/>
      <c r="G15" s="4"/>
      <c r="H15" s="4"/>
      <c r="I15" s="4" t="s">
        <v>26</v>
      </c>
      <c r="J15" s="7" t="s">
        <v>78</v>
      </c>
      <c r="K15" s="4"/>
      <c r="L15" s="4"/>
      <c r="M15" s="4"/>
      <c r="N15" s="4"/>
      <c r="O15" s="4"/>
      <c r="P15" s="3"/>
      <c r="Q15" s="12"/>
      <c r="R15" s="3"/>
      <c r="S15" s="9"/>
      <c r="T15" s="9"/>
      <c r="U15" s="4"/>
      <c r="V15" s="4"/>
      <c r="W15" s="4"/>
      <c r="X15" s="9"/>
    </row>
    <row r="16" spans="1:24" ht="40.5" hidden="1">
      <c r="A16" s="9">
        <f t="shared" si="0"/>
        <v>15</v>
      </c>
      <c r="B16" s="9">
        <v>2404</v>
      </c>
      <c r="C16" s="3" t="s">
        <v>76</v>
      </c>
      <c r="D16" s="4"/>
      <c r="E16" s="4"/>
      <c r="F16" s="41" t="s">
        <v>145</v>
      </c>
      <c r="G16" s="41" t="s">
        <v>146</v>
      </c>
      <c r="H16" s="4"/>
      <c r="I16" s="4" t="s">
        <v>26</v>
      </c>
      <c r="J16" s="7" t="s">
        <v>27</v>
      </c>
      <c r="K16" s="4"/>
      <c r="L16" s="4"/>
      <c r="M16" s="4"/>
      <c r="N16" s="4"/>
      <c r="O16" s="4"/>
      <c r="P16" s="4" t="s">
        <v>147</v>
      </c>
      <c r="Q16" s="12">
        <v>45292</v>
      </c>
      <c r="R16" s="4"/>
      <c r="S16" s="9"/>
      <c r="T16" s="9"/>
      <c r="U16" s="4"/>
      <c r="V16" s="4"/>
      <c r="W16" s="4"/>
      <c r="X16" s="9"/>
    </row>
    <row r="17" spans="1:24" ht="13.5" hidden="1">
      <c r="A17" s="9">
        <v>13</v>
      </c>
      <c r="B17" s="9"/>
      <c r="C17" s="16" t="s">
        <v>77</v>
      </c>
      <c r="D17" s="4"/>
      <c r="E17" s="4"/>
      <c r="F17" s="4"/>
      <c r="G17" s="4"/>
      <c r="H17" s="4"/>
      <c r="I17" s="4" t="s">
        <v>26</v>
      </c>
      <c r="J17" s="7" t="s">
        <v>78</v>
      </c>
      <c r="K17" s="4"/>
      <c r="L17" s="4"/>
      <c r="M17" s="4"/>
      <c r="N17" s="4"/>
      <c r="O17" s="4"/>
      <c r="P17" s="4"/>
      <c r="Q17" s="12"/>
      <c r="R17" s="4"/>
      <c r="S17" s="9"/>
      <c r="T17" s="9"/>
      <c r="U17" s="4"/>
      <c r="V17" s="4"/>
      <c r="W17" s="3" t="s">
        <v>79</v>
      </c>
      <c r="X17" s="9">
        <v>2024</v>
      </c>
    </row>
    <row r="18" spans="1:24" ht="18.75" hidden="1">
      <c r="A18" s="9">
        <f t="shared" ref="A18:A30" si="1">1+A17</f>
        <v>14</v>
      </c>
      <c r="B18" s="9"/>
      <c r="C18" s="4" t="s">
        <v>80</v>
      </c>
      <c r="D18" s="4" t="s">
        <v>81</v>
      </c>
      <c r="E18" s="4"/>
      <c r="F18" s="41" t="s">
        <v>148</v>
      </c>
      <c r="G18" s="41" t="s">
        <v>149</v>
      </c>
      <c r="H18" s="4"/>
      <c r="I18" s="45" t="s">
        <v>82</v>
      </c>
      <c r="J18" s="9" t="s">
        <v>27</v>
      </c>
      <c r="K18" s="4"/>
      <c r="L18" s="4"/>
      <c r="M18" s="4"/>
      <c r="N18" s="4"/>
      <c r="O18" s="48" t="s">
        <v>150</v>
      </c>
      <c r="P18" s="3" t="s">
        <v>151</v>
      </c>
      <c r="Q18" s="12"/>
      <c r="R18" s="13">
        <v>45413</v>
      </c>
      <c r="S18" s="9"/>
      <c r="T18" s="13">
        <v>45352</v>
      </c>
      <c r="U18" s="4"/>
      <c r="V18" s="4"/>
      <c r="W18" s="3" t="s">
        <v>83</v>
      </c>
      <c r="X18" s="9">
        <v>2024</v>
      </c>
    </row>
    <row r="19" spans="1:24" ht="18.75" hidden="1">
      <c r="A19" s="9">
        <f t="shared" si="1"/>
        <v>15</v>
      </c>
      <c r="B19" s="9"/>
      <c r="C19" s="4" t="s">
        <v>84</v>
      </c>
      <c r="D19" s="4"/>
      <c r="E19" s="4"/>
      <c r="F19" s="4" t="s">
        <v>85</v>
      </c>
      <c r="G19" s="41" t="s">
        <v>152</v>
      </c>
      <c r="H19" s="4"/>
      <c r="I19" s="45" t="s">
        <v>82</v>
      </c>
      <c r="J19" s="9" t="s">
        <v>27</v>
      </c>
      <c r="K19" s="4"/>
      <c r="L19" s="4"/>
      <c r="M19" s="4"/>
      <c r="N19" s="4"/>
      <c r="O19" s="48" t="s">
        <v>150</v>
      </c>
      <c r="P19" s="3" t="s">
        <v>140</v>
      </c>
      <c r="Q19" s="12"/>
      <c r="R19" s="4"/>
      <c r="S19" s="9"/>
      <c r="T19" s="9"/>
      <c r="U19" s="4"/>
      <c r="V19" s="4"/>
      <c r="W19" s="4"/>
      <c r="X19" s="9">
        <v>2024</v>
      </c>
    </row>
    <row r="20" spans="1:24" ht="25.5" hidden="1">
      <c r="A20" s="9">
        <f t="shared" si="1"/>
        <v>16</v>
      </c>
      <c r="B20" s="9"/>
      <c r="C20" s="4" t="s">
        <v>86</v>
      </c>
      <c r="D20" s="4"/>
      <c r="E20" s="4"/>
      <c r="F20" s="42" t="s">
        <v>153</v>
      </c>
      <c r="G20" s="41" t="s">
        <v>154</v>
      </c>
      <c r="H20" s="4"/>
      <c r="I20" s="45" t="s">
        <v>82</v>
      </c>
      <c r="J20" s="9" t="s">
        <v>27</v>
      </c>
      <c r="K20" s="4"/>
      <c r="L20" s="4"/>
      <c r="M20" s="4"/>
      <c r="N20" s="4"/>
      <c r="O20" s="48" t="s">
        <v>150</v>
      </c>
      <c r="P20" s="3" t="s">
        <v>140</v>
      </c>
      <c r="Q20" s="12"/>
      <c r="R20" s="4"/>
      <c r="S20" s="9"/>
      <c r="T20" s="9"/>
      <c r="U20" s="4"/>
      <c r="V20" s="4"/>
      <c r="W20" s="4"/>
      <c r="X20" s="9">
        <v>2024</v>
      </c>
    </row>
    <row r="21" spans="1:24" ht="18.75" hidden="1">
      <c r="A21" s="9">
        <f t="shared" si="1"/>
        <v>17</v>
      </c>
      <c r="B21" s="9"/>
      <c r="C21" s="45" t="s">
        <v>155</v>
      </c>
      <c r="D21" s="4"/>
      <c r="E21" s="4"/>
      <c r="F21" s="42" t="s">
        <v>156</v>
      </c>
      <c r="G21" s="41" t="s">
        <v>157</v>
      </c>
      <c r="H21" s="4"/>
      <c r="I21" s="45" t="s">
        <v>82</v>
      </c>
      <c r="J21" s="9" t="s">
        <v>27</v>
      </c>
      <c r="K21" s="4"/>
      <c r="L21" s="4"/>
      <c r="M21" s="9"/>
      <c r="N21" s="9"/>
      <c r="O21" s="48" t="s">
        <v>150</v>
      </c>
      <c r="P21" s="3" t="s">
        <v>143</v>
      </c>
      <c r="Q21" s="12"/>
      <c r="R21" s="4"/>
      <c r="S21" s="4"/>
      <c r="T21" s="4"/>
      <c r="U21" s="9">
        <v>2024</v>
      </c>
      <c r="X21" s="2"/>
    </row>
    <row r="22" spans="1:24" ht="27" hidden="1">
      <c r="A22" s="9">
        <f t="shared" si="1"/>
        <v>18</v>
      </c>
      <c r="B22" s="9"/>
      <c r="C22" s="42" t="s">
        <v>90</v>
      </c>
      <c r="D22" s="4"/>
      <c r="E22" s="4"/>
      <c r="F22" s="45" t="s">
        <v>158</v>
      </c>
      <c r="G22" s="41" t="s">
        <v>154</v>
      </c>
      <c r="H22" s="4"/>
      <c r="I22" s="45" t="s">
        <v>82</v>
      </c>
      <c r="J22" s="9" t="s">
        <v>27</v>
      </c>
      <c r="K22" s="4"/>
      <c r="L22" s="4"/>
      <c r="M22" s="4"/>
      <c r="N22" s="4"/>
      <c r="O22" s="49" t="s">
        <v>150</v>
      </c>
      <c r="P22" s="3" t="s">
        <v>143</v>
      </c>
      <c r="Q22" s="12"/>
      <c r="R22" s="4"/>
      <c r="S22" s="9"/>
      <c r="T22" s="9"/>
      <c r="U22" s="4"/>
      <c r="V22" s="4"/>
      <c r="W22" s="4"/>
      <c r="X22" s="9">
        <v>2024</v>
      </c>
    </row>
    <row r="23" spans="1:24" ht="51" hidden="1">
      <c r="A23" s="9">
        <f t="shared" si="1"/>
        <v>19</v>
      </c>
      <c r="B23" s="9"/>
      <c r="C23" s="4" t="s">
        <v>91</v>
      </c>
      <c r="D23" s="4" t="s">
        <v>92</v>
      </c>
      <c r="E23" s="4" t="s">
        <v>93</v>
      </c>
      <c r="F23" s="4" t="s">
        <v>94</v>
      </c>
      <c r="G23" s="4"/>
      <c r="H23" s="4"/>
      <c r="I23" s="4" t="s">
        <v>95</v>
      </c>
      <c r="J23" s="9" t="s">
        <v>27</v>
      </c>
      <c r="K23" s="4"/>
      <c r="L23" s="4"/>
      <c r="M23" s="4"/>
      <c r="N23" s="4"/>
      <c r="O23" s="4"/>
      <c r="P23" s="4"/>
      <c r="Q23" s="12"/>
      <c r="R23" s="4"/>
      <c r="S23" s="9"/>
      <c r="T23" s="9"/>
      <c r="U23" s="4"/>
      <c r="V23" s="3" t="s">
        <v>96</v>
      </c>
      <c r="W23" s="4"/>
      <c r="X23" s="9">
        <v>2024</v>
      </c>
    </row>
    <row r="24" spans="1:24" ht="39.75" hidden="1">
      <c r="A24" s="9">
        <f t="shared" si="1"/>
        <v>20</v>
      </c>
      <c r="B24" s="9"/>
      <c r="C24" s="3" t="s">
        <v>97</v>
      </c>
      <c r="D24" s="3" t="s">
        <v>98</v>
      </c>
      <c r="E24" s="4"/>
      <c r="F24" s="4" t="s">
        <v>99</v>
      </c>
      <c r="G24" s="4"/>
      <c r="H24" s="4"/>
      <c r="I24" s="4" t="s">
        <v>97</v>
      </c>
      <c r="J24" s="9" t="s">
        <v>27</v>
      </c>
      <c r="K24" s="4"/>
      <c r="L24" s="4"/>
      <c r="M24" s="4"/>
      <c r="N24" s="4"/>
      <c r="O24" s="4"/>
      <c r="P24" s="4"/>
      <c r="Q24" s="12"/>
      <c r="R24" s="4"/>
      <c r="S24" s="9"/>
      <c r="T24" s="9"/>
      <c r="U24" s="4"/>
      <c r="V24" s="3" t="s">
        <v>100</v>
      </c>
      <c r="W24" s="4"/>
      <c r="X24" s="9">
        <v>2024</v>
      </c>
    </row>
    <row r="25" spans="1:24" ht="13.5" hidden="1">
      <c r="A25" s="9">
        <f t="shared" si="1"/>
        <v>21</v>
      </c>
      <c r="B25" s="9"/>
      <c r="C25" s="4" t="s">
        <v>101</v>
      </c>
      <c r="D25" s="4"/>
      <c r="E25" s="4" t="s">
        <v>102</v>
      </c>
      <c r="F25" s="4" t="s">
        <v>103</v>
      </c>
      <c r="G25" s="3" t="s">
        <v>159</v>
      </c>
      <c r="H25" s="4"/>
      <c r="I25" s="46" t="s">
        <v>104</v>
      </c>
      <c r="J25" s="9" t="s">
        <v>27</v>
      </c>
      <c r="K25" s="4"/>
      <c r="L25" s="4"/>
      <c r="M25" s="4"/>
      <c r="N25" s="4"/>
      <c r="O25" s="4"/>
      <c r="P25" s="4"/>
      <c r="Q25" s="12">
        <v>45292</v>
      </c>
      <c r="R25" s="4"/>
      <c r="S25" s="9"/>
      <c r="T25" s="9"/>
      <c r="U25" s="4"/>
      <c r="V25" s="4"/>
      <c r="W25" s="4"/>
      <c r="X25" s="9">
        <v>2024</v>
      </c>
    </row>
    <row r="26" spans="1:24" hidden="1">
      <c r="A26" s="9">
        <f t="shared" si="1"/>
        <v>22</v>
      </c>
      <c r="B26" s="9"/>
      <c r="C26" s="4" t="s">
        <v>105</v>
      </c>
      <c r="D26" s="4"/>
      <c r="E26" s="4" t="s">
        <v>102</v>
      </c>
      <c r="F26" s="4" t="s">
        <v>106</v>
      </c>
      <c r="G26" s="4"/>
      <c r="H26" s="4"/>
      <c r="I26" s="4" t="s">
        <v>104</v>
      </c>
      <c r="J26" s="7" t="s">
        <v>78</v>
      </c>
      <c r="K26" s="4"/>
      <c r="L26" s="4"/>
      <c r="M26" s="4"/>
      <c r="N26" s="4"/>
      <c r="O26" s="4"/>
      <c r="P26" s="4"/>
      <c r="Q26" s="12">
        <v>45292</v>
      </c>
      <c r="R26" s="12">
        <v>45352</v>
      </c>
      <c r="S26" s="9"/>
      <c r="T26" s="9"/>
      <c r="U26" s="4"/>
      <c r="V26" s="3" t="s">
        <v>107</v>
      </c>
      <c r="W26" s="4"/>
      <c r="X26" s="9">
        <v>2024</v>
      </c>
    </row>
    <row r="27" spans="1:24" ht="27" hidden="1">
      <c r="A27" s="9">
        <f t="shared" si="1"/>
        <v>23</v>
      </c>
      <c r="B27" s="9"/>
      <c r="C27" s="42" t="s">
        <v>160</v>
      </c>
      <c r="D27" s="4"/>
      <c r="E27" s="17" t="s">
        <v>109</v>
      </c>
      <c r="F27" s="3" t="s">
        <v>110</v>
      </c>
      <c r="G27" s="17" t="s">
        <v>161</v>
      </c>
      <c r="H27" s="4"/>
      <c r="I27" s="4" t="s">
        <v>104</v>
      </c>
      <c r="J27" s="9" t="s">
        <v>27</v>
      </c>
      <c r="K27" s="4"/>
      <c r="L27" s="4"/>
      <c r="M27" s="4"/>
      <c r="N27" s="4"/>
      <c r="O27" s="4"/>
      <c r="P27" s="4"/>
      <c r="Q27" s="12">
        <v>45292</v>
      </c>
      <c r="R27" s="4"/>
      <c r="S27" s="9"/>
      <c r="T27" s="9"/>
      <c r="U27" s="4"/>
      <c r="V27" s="4"/>
      <c r="W27" s="4"/>
      <c r="X27" s="9">
        <v>2024</v>
      </c>
    </row>
    <row r="28" spans="1:24" ht="28.5" hidden="1">
      <c r="A28" s="9">
        <f t="shared" si="1"/>
        <v>24</v>
      </c>
      <c r="B28" s="9"/>
      <c r="C28" s="4" t="s">
        <v>111</v>
      </c>
      <c r="D28" s="4"/>
      <c r="E28" s="4" t="s">
        <v>102</v>
      </c>
      <c r="F28" s="3" t="s">
        <v>110</v>
      </c>
      <c r="G28" s="3" t="s">
        <v>159</v>
      </c>
      <c r="H28" s="4"/>
      <c r="I28" s="4" t="s">
        <v>104</v>
      </c>
      <c r="J28" s="7" t="s">
        <v>27</v>
      </c>
      <c r="K28" s="4"/>
      <c r="L28" s="4"/>
      <c r="M28" s="4"/>
      <c r="N28" s="4"/>
      <c r="O28" s="4"/>
      <c r="P28" s="4"/>
      <c r="Q28" s="12"/>
      <c r="R28" s="4"/>
      <c r="S28" s="9"/>
      <c r="T28" s="9"/>
      <c r="U28" s="4"/>
      <c r="V28" s="4"/>
      <c r="W28" s="4"/>
      <c r="X28" s="9">
        <v>2024</v>
      </c>
    </row>
    <row r="29" spans="1:24" ht="38.25" hidden="1">
      <c r="A29" s="9">
        <f t="shared" si="1"/>
        <v>25</v>
      </c>
      <c r="B29" s="9"/>
      <c r="C29" s="4" t="s">
        <v>112</v>
      </c>
      <c r="D29" s="4" t="s">
        <v>113</v>
      </c>
      <c r="E29" s="4" t="s">
        <v>52</v>
      </c>
      <c r="F29" s="4" t="s">
        <v>53</v>
      </c>
      <c r="G29" s="4"/>
      <c r="H29" s="4"/>
      <c r="I29" s="40" t="s">
        <v>55</v>
      </c>
      <c r="J29" s="7" t="s">
        <v>27</v>
      </c>
      <c r="K29" s="4"/>
      <c r="L29" s="4"/>
      <c r="M29" s="4"/>
      <c r="N29" s="4" t="s">
        <v>114</v>
      </c>
      <c r="O29" s="4"/>
      <c r="P29" s="3" t="s">
        <v>151</v>
      </c>
      <c r="Q29" s="12">
        <v>45292</v>
      </c>
      <c r="R29" s="4"/>
      <c r="S29" s="9"/>
      <c r="T29" s="9"/>
      <c r="U29" s="4"/>
      <c r="V29" s="4"/>
      <c r="W29" s="4" t="s">
        <v>115</v>
      </c>
      <c r="X29" s="9">
        <v>2023</v>
      </c>
    </row>
    <row r="30" spans="1:24" ht="13.5" hidden="1">
      <c r="A30" s="9">
        <f t="shared" si="1"/>
        <v>26</v>
      </c>
      <c r="B30" s="9"/>
      <c r="C30" s="4"/>
      <c r="D30" s="4"/>
      <c r="E30" s="4"/>
      <c r="F30" s="4"/>
      <c r="G30" s="4"/>
      <c r="H30" s="4"/>
      <c r="I30" s="40"/>
      <c r="J30" s="7"/>
      <c r="K30" s="4"/>
      <c r="L30" s="4"/>
      <c r="M30" s="4"/>
      <c r="N30" s="4"/>
      <c r="O30" s="4"/>
      <c r="P30" s="4"/>
      <c r="Q30" s="4"/>
      <c r="R30" s="4"/>
      <c r="S30" s="9"/>
      <c r="T30" s="9"/>
      <c r="U30" s="4"/>
      <c r="V30" s="4"/>
      <c r="W30" s="4"/>
      <c r="X30" s="9"/>
    </row>
    <row r="31" spans="1:24" ht="13.5" hidden="1">
      <c r="A31" s="9">
        <v>27</v>
      </c>
      <c r="B31" s="9"/>
      <c r="C31" s="16" t="s">
        <v>116</v>
      </c>
      <c r="D31" s="4"/>
      <c r="E31" s="4"/>
      <c r="F31" s="4" t="s">
        <v>117</v>
      </c>
      <c r="G31" s="4"/>
      <c r="H31" s="4"/>
      <c r="I31" s="4"/>
      <c r="J31" s="7" t="s">
        <v>78</v>
      </c>
      <c r="K31" s="4"/>
      <c r="L31" s="4"/>
      <c r="M31" s="4"/>
      <c r="N31" s="4"/>
      <c r="O31" s="4"/>
      <c r="P31" s="4"/>
      <c r="Q31" s="4"/>
      <c r="R31" s="4"/>
      <c r="S31" s="9"/>
      <c r="T31" s="9"/>
      <c r="U31" s="4"/>
      <c r="V31" s="4"/>
      <c r="W31" s="3" t="s">
        <v>79</v>
      </c>
      <c r="X31" s="9"/>
    </row>
    <row r="32" spans="1:24" ht="13.5" hidden="1">
      <c r="A32" s="9">
        <v>28</v>
      </c>
      <c r="B32" s="9"/>
      <c r="C32" s="16" t="s">
        <v>118</v>
      </c>
      <c r="D32" s="4"/>
      <c r="E32" s="4"/>
      <c r="F32" s="4" t="s">
        <v>119</v>
      </c>
      <c r="G32" s="4"/>
      <c r="H32" s="4"/>
      <c r="I32" s="4"/>
      <c r="J32" s="7" t="s">
        <v>78</v>
      </c>
      <c r="K32" s="4"/>
      <c r="L32" s="4"/>
      <c r="M32" s="4"/>
      <c r="N32" s="4"/>
      <c r="O32" s="4"/>
      <c r="P32" s="4"/>
      <c r="Q32" s="4"/>
      <c r="R32" s="4"/>
      <c r="S32" s="9"/>
      <c r="T32" s="9"/>
      <c r="U32" s="4"/>
      <c r="V32" s="4"/>
      <c r="W32" s="3" t="s">
        <v>79</v>
      </c>
      <c r="X32" s="9"/>
    </row>
    <row r="33" spans="1:24" ht="14.25" hidden="1">
      <c r="A33" s="9">
        <v>29</v>
      </c>
      <c r="B33" s="9"/>
      <c r="C33" s="16" t="s">
        <v>120</v>
      </c>
      <c r="D33" s="4"/>
      <c r="E33" s="4"/>
      <c r="F33" s="4" t="s">
        <v>121</v>
      </c>
      <c r="G33" s="4"/>
      <c r="H33" s="4"/>
      <c r="I33" s="4"/>
      <c r="J33" s="7" t="s">
        <v>78</v>
      </c>
      <c r="K33" s="4"/>
      <c r="L33" s="4"/>
      <c r="M33" s="4"/>
      <c r="N33" s="4"/>
      <c r="O33" s="4"/>
      <c r="P33" s="4"/>
      <c r="Q33" s="4"/>
      <c r="R33" s="4"/>
      <c r="S33" s="9"/>
      <c r="T33" s="9"/>
      <c r="U33" s="4"/>
      <c r="V33" s="4"/>
      <c r="W33" s="3" t="s">
        <v>79</v>
      </c>
      <c r="X33" s="9"/>
    </row>
    <row r="34" spans="1:24" ht="25.5" hidden="1">
      <c r="A34" s="9">
        <v>30</v>
      </c>
      <c r="B34" s="9"/>
      <c r="C34" s="16" t="s">
        <v>122</v>
      </c>
      <c r="D34" s="4"/>
      <c r="E34" s="4"/>
      <c r="F34" s="4"/>
      <c r="G34" s="4"/>
      <c r="H34" s="4"/>
      <c r="I34" s="4"/>
      <c r="J34" s="7" t="s">
        <v>78</v>
      </c>
      <c r="K34" s="4"/>
      <c r="L34" s="4"/>
      <c r="M34" s="4"/>
      <c r="N34" s="4"/>
      <c r="O34" s="4"/>
      <c r="P34" s="4"/>
      <c r="Q34" s="4"/>
      <c r="R34" s="4"/>
      <c r="S34" s="9"/>
      <c r="T34" s="9"/>
      <c r="U34" s="4"/>
      <c r="V34" s="4"/>
      <c r="W34" s="3" t="s">
        <v>79</v>
      </c>
      <c r="X34" s="9"/>
    </row>
    <row r="35" spans="1:24" ht="40.5" hidden="1">
      <c r="A35" s="7">
        <v>26</v>
      </c>
      <c r="B35" s="7">
        <v>2405</v>
      </c>
      <c r="C35" s="41" t="s">
        <v>162</v>
      </c>
      <c r="D35" s="3"/>
      <c r="E35" s="3"/>
      <c r="F35" s="45" t="s">
        <v>163</v>
      </c>
      <c r="G35" s="41" t="s">
        <v>164</v>
      </c>
      <c r="H35" s="3" t="s">
        <v>165</v>
      </c>
      <c r="I35" s="4" t="s">
        <v>26</v>
      </c>
      <c r="J35" s="7" t="s">
        <v>27</v>
      </c>
      <c r="K35" s="3"/>
      <c r="L35" s="3"/>
      <c r="M35" s="3"/>
      <c r="N35" s="3"/>
      <c r="O35" s="3"/>
      <c r="P35" s="3" t="s">
        <v>143</v>
      </c>
      <c r="Q35" s="12">
        <v>45352</v>
      </c>
      <c r="R35" s="3"/>
      <c r="S35" s="12"/>
      <c r="T35" s="7"/>
      <c r="U35" s="3"/>
      <c r="V35" s="3"/>
      <c r="W35" s="3"/>
      <c r="X35" s="7"/>
    </row>
    <row r="39" spans="1:24" ht="18.75">
      <c r="C39" s="47"/>
    </row>
    <row r="40" spans="1:24" ht="18.75">
      <c r="C40" s="47"/>
    </row>
    <row r="41" spans="1:24" ht="18.75">
      <c r="C41" s="47"/>
      <c r="D41" s="48"/>
    </row>
    <row r="42" spans="1:24" ht="18.75">
      <c r="C42" s="47"/>
      <c r="D42" s="48"/>
    </row>
    <row r="43" spans="1:24" ht="18.75">
      <c r="C43" s="47"/>
      <c r="D43" s="48"/>
    </row>
    <row r="44" spans="1:24" ht="18.75">
      <c r="D44" s="48"/>
    </row>
    <row r="45" spans="1:24" ht="18.75">
      <c r="D45" s="49"/>
    </row>
  </sheetData>
  <phoneticPr fontId="11" type="noConversion"/>
  <conditionalFormatting sqref="K21:L21">
    <cfRule type="cellIs" dxfId="144" priority="3" operator="equal">
      <formula>"已上線"</formula>
    </cfRule>
    <cfRule type="cellIs" dxfId="143" priority="4" operator="equal">
      <formula>"暫緩"</formula>
    </cfRule>
  </conditionalFormatting>
  <conditionalFormatting sqref="P35:Q35">
    <cfRule type="cellIs" dxfId="142" priority="1" operator="equal">
      <formula>"已上線"</formula>
    </cfRule>
    <cfRule type="cellIs" dxfId="141" priority="2" operator="equal">
      <formula>"暫緩"</formula>
    </cfRule>
  </conditionalFormatting>
  <conditionalFormatting sqref="R2:R3 N2:P17 R5:R17 N18:N20 P18:P20 R19:R20 N22 R22:R25 N23:P29 R27:R29 N30:R34">
    <cfRule type="cellIs" dxfId="140" priority="5" operator="equal">
      <formula>"已上線"</formula>
    </cfRule>
    <cfRule type="cellIs" dxfId="139" priority="6" operator="equal">
      <formula>"暫緩"</formula>
    </cfRule>
  </conditionalFormatting>
  <dataValidations count="4">
    <dataValidation type="list" allowBlank="1" showErrorMessage="1" sqref="N7 N13:N16 N22 N26 N34 N2 K21" xr:uid="{00000000-0002-0000-0100-000000000000}">
      <formula1>"評估中,規劃中,實作中,測試中,已上線,暫緩"</formula1>
    </dataValidation>
    <dataValidation type="list" allowBlank="1" showErrorMessage="1" sqref="L2:L6" xr:uid="{00000000-0002-0000-0100-000001000000}">
      <formula1>"Cloud Migration,Cloud Native,TBD"</formula1>
    </dataValidation>
    <dataValidation type="list" allowBlank="1" showErrorMessage="1" sqref="K2:K6" xr:uid="{00000000-0002-0000-0100-000002000000}">
      <formula1>"行銷/通路,應用/服務,產品/核心,數據/分析,TBD"</formula1>
    </dataValidation>
    <dataValidation type="list" allowBlank="1" showErrorMessage="1" sqref="N3:N6 N8:N12 N23:N25 N17:N20 N27:N33" xr:uid="{00000000-0002-0000-0100-000003000000}">
      <formula1>"評估中,規劃中,實作中,測試中,已上線"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A1:X45"/>
  <sheetViews>
    <sheetView zoomScale="130" zoomScaleNormal="130" workbookViewId="0">
      <selection activeCell="E38" sqref="E38"/>
    </sheetView>
  </sheetViews>
  <sheetFormatPr defaultColWidth="19.42578125" defaultRowHeight="15"/>
  <cols>
    <col min="1" max="1" width="8.85546875" style="1" bestFit="1" customWidth="1"/>
    <col min="2" max="2" width="11.7109375" style="1" bestFit="1" customWidth="1"/>
    <col min="3" max="4" width="19.42578125" style="6"/>
    <col min="5" max="5" width="19.28515625" style="6" bestFit="1" customWidth="1"/>
    <col min="6" max="6" width="6.85546875" style="6" customWidth="1"/>
    <col min="7" max="7" width="7.7109375" style="6" customWidth="1"/>
    <col min="8" max="8" width="0" hidden="1" customWidth="1"/>
    <col min="9" max="9" width="10" style="6" bestFit="1" customWidth="1"/>
    <col min="10" max="10" width="10.85546875" style="1" customWidth="1"/>
    <col min="11" max="11" width="0" style="1" hidden="1" customWidth="1"/>
    <col min="12" max="14" width="0" style="2" hidden="1" customWidth="1"/>
    <col min="15" max="15" width="9" style="56" customWidth="1"/>
    <col min="16" max="16" width="14.28515625" style="1" customWidth="1"/>
    <col min="17" max="17" width="9.42578125" style="1" customWidth="1"/>
    <col min="18" max="18" width="8.140625" style="1" customWidth="1"/>
    <col min="19" max="19" width="13" style="1" customWidth="1"/>
    <col min="20" max="20" width="10.85546875" style="1" customWidth="1"/>
    <col min="21" max="21" width="8.85546875" style="2" customWidth="1"/>
    <col min="22" max="22" width="13.28515625" style="2" bestFit="1" customWidth="1"/>
    <col min="23" max="23" width="25.7109375" style="2" customWidth="1"/>
    <col min="24" max="24" width="13.28515625" style="1" bestFit="1" customWidth="1"/>
    <col min="25" max="16384" width="19.42578125" style="2"/>
  </cols>
  <sheetData>
    <row r="1" spans="1:24" s="7" customFormat="1" ht="36.950000000000003" customHeight="1">
      <c r="A1" s="9" t="s">
        <v>0</v>
      </c>
      <c r="B1" s="7" t="s">
        <v>1</v>
      </c>
      <c r="C1" s="9" t="s">
        <v>2</v>
      </c>
      <c r="D1" s="9" t="s">
        <v>3</v>
      </c>
      <c r="E1" s="9" t="s">
        <v>4</v>
      </c>
      <c r="F1" s="7" t="s">
        <v>123</v>
      </c>
      <c r="G1" s="7" t="s">
        <v>124</v>
      </c>
      <c r="H1" s="9" t="s">
        <v>6</v>
      </c>
      <c r="I1" s="9" t="s">
        <v>7</v>
      </c>
      <c r="J1" s="43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55" t="s">
        <v>13</v>
      </c>
      <c r="P1" s="44" t="s">
        <v>14</v>
      </c>
      <c r="Q1" s="44" t="s">
        <v>125</v>
      </c>
      <c r="R1" s="44" t="s">
        <v>126</v>
      </c>
      <c r="S1" s="9" t="s">
        <v>15</v>
      </c>
      <c r="T1" s="9" t="s">
        <v>16</v>
      </c>
      <c r="U1" s="44" t="s">
        <v>17</v>
      </c>
      <c r="V1" s="9" t="s">
        <v>18</v>
      </c>
      <c r="W1" s="9" t="s">
        <v>19</v>
      </c>
      <c r="X1" s="9" t="s">
        <v>20</v>
      </c>
    </row>
    <row r="2" spans="1:24" ht="51">
      <c r="A2" s="9">
        <v>1</v>
      </c>
      <c r="B2" s="9">
        <v>2301</v>
      </c>
      <c r="C2" s="4" t="s">
        <v>21</v>
      </c>
      <c r="D2" s="4" t="s">
        <v>22</v>
      </c>
      <c r="E2" s="4" t="s">
        <v>23</v>
      </c>
      <c r="F2" s="4" t="s">
        <v>24</v>
      </c>
      <c r="G2" s="41" t="s">
        <v>127</v>
      </c>
      <c r="H2" s="17" t="s">
        <v>25</v>
      </c>
      <c r="I2" s="4" t="s">
        <v>26</v>
      </c>
      <c r="J2" s="9" t="s">
        <v>27</v>
      </c>
      <c r="K2" s="4" t="s">
        <v>28</v>
      </c>
      <c r="L2" s="4" t="s">
        <v>29</v>
      </c>
      <c r="M2" s="4"/>
      <c r="N2" s="4" t="s">
        <v>30</v>
      </c>
      <c r="O2" s="58" t="s">
        <v>166</v>
      </c>
      <c r="P2" s="3" t="s">
        <v>140</v>
      </c>
      <c r="Q2" s="13">
        <v>45292</v>
      </c>
      <c r="R2" s="4"/>
      <c r="S2" s="11">
        <v>44866</v>
      </c>
      <c r="T2" s="9"/>
      <c r="U2" s="4"/>
      <c r="V2" s="4" t="s">
        <v>31</v>
      </c>
      <c r="W2" s="14" t="s">
        <v>32</v>
      </c>
      <c r="X2" s="9">
        <v>2024</v>
      </c>
    </row>
    <row r="3" spans="1:24" ht="38.25">
      <c r="A3" s="9">
        <f>1+A2</f>
        <v>2</v>
      </c>
      <c r="B3" s="9">
        <v>2302</v>
      </c>
      <c r="C3" s="4" t="s">
        <v>33</v>
      </c>
      <c r="D3" s="4"/>
      <c r="E3" s="4" t="s">
        <v>34</v>
      </c>
      <c r="F3" s="42" t="s">
        <v>129</v>
      </c>
      <c r="G3" s="45" t="s">
        <v>130</v>
      </c>
      <c r="H3" s="17" t="s">
        <v>25</v>
      </c>
      <c r="I3" s="4" t="s">
        <v>26</v>
      </c>
      <c r="J3" s="9" t="s">
        <v>27</v>
      </c>
      <c r="K3" s="4" t="s">
        <v>28</v>
      </c>
      <c r="L3" s="4" t="s">
        <v>29</v>
      </c>
      <c r="M3" s="4"/>
      <c r="N3" s="4" t="s">
        <v>36</v>
      </c>
      <c r="O3" s="58" t="s">
        <v>166</v>
      </c>
      <c r="P3" s="3" t="s">
        <v>151</v>
      </c>
      <c r="Q3" s="13">
        <v>45292</v>
      </c>
      <c r="R3" s="13">
        <v>45413</v>
      </c>
      <c r="S3" s="12">
        <v>44866</v>
      </c>
      <c r="T3" s="13">
        <v>45292</v>
      </c>
      <c r="U3" s="37">
        <v>45317</v>
      </c>
      <c r="V3" s="4" t="s">
        <v>31</v>
      </c>
      <c r="W3" s="4" t="s">
        <v>37</v>
      </c>
      <c r="X3" s="9">
        <v>2024</v>
      </c>
    </row>
    <row r="4" spans="1:24" ht="54">
      <c r="A4" s="9">
        <f t="shared" ref="A4:A16" si="0">1+A3</f>
        <v>3</v>
      </c>
      <c r="B4" s="9">
        <v>2303</v>
      </c>
      <c r="C4" s="28" t="s">
        <v>38</v>
      </c>
      <c r="D4" s="4"/>
      <c r="E4" s="4" t="s">
        <v>39</v>
      </c>
      <c r="F4" s="4" t="s">
        <v>40</v>
      </c>
      <c r="G4" s="41" t="s">
        <v>132</v>
      </c>
      <c r="H4" s="17" t="s">
        <v>25</v>
      </c>
      <c r="I4" s="4" t="s">
        <v>26</v>
      </c>
      <c r="J4" s="9" t="s">
        <v>27</v>
      </c>
      <c r="K4" s="4" t="s">
        <v>28</v>
      </c>
      <c r="L4" s="4" t="s">
        <v>41</v>
      </c>
      <c r="M4" s="4"/>
      <c r="N4" s="4" t="s">
        <v>42</v>
      </c>
      <c r="O4" s="38" t="s">
        <v>43</v>
      </c>
      <c r="P4" s="4" t="s">
        <v>133</v>
      </c>
      <c r="Q4" s="13">
        <v>45292</v>
      </c>
      <c r="R4" s="13">
        <v>45352</v>
      </c>
      <c r="S4" s="12">
        <v>44866</v>
      </c>
      <c r="T4" s="15" t="s">
        <v>44</v>
      </c>
      <c r="U4" s="13">
        <v>45352</v>
      </c>
      <c r="V4" s="4" t="s">
        <v>31</v>
      </c>
      <c r="W4" s="3" t="s">
        <v>134</v>
      </c>
      <c r="X4" s="9">
        <v>2024</v>
      </c>
    </row>
    <row r="5" spans="1:24" ht="12" customHeight="1">
      <c r="A5" s="9">
        <f t="shared" si="0"/>
        <v>4</v>
      </c>
      <c r="B5" s="9">
        <v>2304</v>
      </c>
      <c r="C5" s="17" t="s">
        <v>46</v>
      </c>
      <c r="D5" s="4"/>
      <c r="E5" s="4" t="s">
        <v>34</v>
      </c>
      <c r="F5" s="42" t="s">
        <v>135</v>
      </c>
      <c r="G5" s="41" t="s">
        <v>136</v>
      </c>
      <c r="H5" s="3" t="s">
        <v>48</v>
      </c>
      <c r="I5" s="4" t="s">
        <v>26</v>
      </c>
      <c r="J5" s="9" t="s">
        <v>27</v>
      </c>
      <c r="K5" s="4" t="s">
        <v>28</v>
      </c>
      <c r="L5" s="4" t="s">
        <v>41</v>
      </c>
      <c r="M5" s="4"/>
      <c r="N5" s="4" t="s">
        <v>42</v>
      </c>
      <c r="O5" s="58" t="s">
        <v>166</v>
      </c>
      <c r="P5" s="3" t="s">
        <v>140</v>
      </c>
      <c r="Q5" s="13">
        <v>45292</v>
      </c>
      <c r="R5" s="3"/>
      <c r="S5" s="12">
        <v>44866</v>
      </c>
      <c r="T5" s="9"/>
      <c r="U5" s="4"/>
      <c r="V5" s="4" t="s">
        <v>31</v>
      </c>
      <c r="W5" s="3" t="s">
        <v>49</v>
      </c>
      <c r="X5" s="9">
        <v>2024</v>
      </c>
    </row>
    <row r="6" spans="1:24" ht="84">
      <c r="A6" s="9">
        <f t="shared" si="0"/>
        <v>5</v>
      </c>
      <c r="B6" s="9"/>
      <c r="C6" s="28" t="s">
        <v>50</v>
      </c>
      <c r="D6" s="4" t="s">
        <v>51</v>
      </c>
      <c r="E6" s="4" t="s">
        <v>52</v>
      </c>
      <c r="F6" s="4" t="s">
        <v>53</v>
      </c>
      <c r="G6" s="4"/>
      <c r="H6" s="3" t="s">
        <v>54</v>
      </c>
      <c r="I6" s="4" t="s">
        <v>55</v>
      </c>
      <c r="J6" s="9" t="s">
        <v>27</v>
      </c>
      <c r="K6" s="4" t="s">
        <v>28</v>
      </c>
      <c r="L6" s="4" t="s">
        <v>29</v>
      </c>
      <c r="M6" s="4"/>
      <c r="N6" s="4" t="s">
        <v>36</v>
      </c>
      <c r="O6" s="58" t="s">
        <v>166</v>
      </c>
      <c r="P6" s="3" t="s">
        <v>140</v>
      </c>
      <c r="Q6" s="12">
        <v>45292</v>
      </c>
      <c r="R6" s="4"/>
      <c r="S6" s="12">
        <v>44835</v>
      </c>
      <c r="T6" s="13">
        <v>45047</v>
      </c>
      <c r="U6" s="4"/>
      <c r="V6" s="4" t="s">
        <v>31</v>
      </c>
      <c r="W6" s="14" t="s">
        <v>56</v>
      </c>
      <c r="X6" s="9">
        <v>2024</v>
      </c>
    </row>
    <row r="7" spans="1:24" ht="15.75" hidden="1">
      <c r="A7" s="9">
        <f t="shared" si="0"/>
        <v>6</v>
      </c>
      <c r="B7" s="9"/>
      <c r="C7" s="4" t="s">
        <v>57</v>
      </c>
      <c r="D7" s="4" t="s">
        <v>58</v>
      </c>
      <c r="E7" s="4" t="s">
        <v>52</v>
      </c>
      <c r="F7" s="4" t="s">
        <v>59</v>
      </c>
      <c r="G7" s="4"/>
      <c r="H7" s="4"/>
      <c r="I7" s="4" t="s">
        <v>55</v>
      </c>
      <c r="J7" s="7" t="s">
        <v>78</v>
      </c>
      <c r="K7" s="4"/>
      <c r="L7" s="4"/>
      <c r="M7" s="4"/>
      <c r="N7" s="4"/>
      <c r="O7" s="58"/>
      <c r="P7" s="3" t="s">
        <v>138</v>
      </c>
      <c r="Q7" s="12">
        <v>45292</v>
      </c>
      <c r="R7" s="4"/>
      <c r="S7" s="9"/>
      <c r="T7" s="9"/>
      <c r="U7" s="4"/>
      <c r="V7" s="4"/>
      <c r="W7" s="3" t="s">
        <v>60</v>
      </c>
      <c r="X7" s="9">
        <v>2024</v>
      </c>
    </row>
    <row r="8" spans="1:24" ht="15.75">
      <c r="A8" s="9">
        <f t="shared" si="0"/>
        <v>7</v>
      </c>
      <c r="B8" s="9"/>
      <c r="C8" s="3" t="s">
        <v>139</v>
      </c>
      <c r="D8" s="4"/>
      <c r="E8" s="4" t="s">
        <v>52</v>
      </c>
      <c r="F8" s="4" t="s">
        <v>62</v>
      </c>
      <c r="G8" s="4"/>
      <c r="H8" s="4"/>
      <c r="I8" s="4" t="s">
        <v>55</v>
      </c>
      <c r="J8" s="9" t="s">
        <v>27</v>
      </c>
      <c r="K8" s="4"/>
      <c r="L8" s="4"/>
      <c r="M8" s="4"/>
      <c r="N8" s="4" t="s">
        <v>42</v>
      </c>
      <c r="O8" s="58" t="s">
        <v>166</v>
      </c>
      <c r="P8" s="3" t="s">
        <v>140</v>
      </c>
      <c r="Q8" s="12">
        <v>45292</v>
      </c>
      <c r="R8" s="4"/>
      <c r="S8" s="9"/>
      <c r="T8" s="9"/>
      <c r="U8" s="4"/>
      <c r="V8" s="4"/>
      <c r="W8" s="4"/>
      <c r="X8" s="9">
        <v>2024</v>
      </c>
    </row>
    <row r="9" spans="1:24" ht="25.5">
      <c r="A9" s="9">
        <f t="shared" si="0"/>
        <v>8</v>
      </c>
      <c r="B9" s="9"/>
      <c r="C9" s="4" t="s">
        <v>63</v>
      </c>
      <c r="D9" s="4"/>
      <c r="E9" s="4" t="s">
        <v>52</v>
      </c>
      <c r="F9" s="4" t="s">
        <v>64</v>
      </c>
      <c r="G9" s="4"/>
      <c r="H9" s="4"/>
      <c r="I9" s="4" t="s">
        <v>55</v>
      </c>
      <c r="J9" s="9" t="s">
        <v>27</v>
      </c>
      <c r="K9" s="4"/>
      <c r="L9" s="4"/>
      <c r="M9" s="4"/>
      <c r="N9" s="4"/>
      <c r="O9" s="58" t="s">
        <v>166</v>
      </c>
      <c r="P9" s="3" t="s">
        <v>140</v>
      </c>
      <c r="Q9" s="12">
        <v>45292</v>
      </c>
      <c r="R9" s="4"/>
      <c r="S9" s="34">
        <v>45292</v>
      </c>
      <c r="T9" s="9"/>
      <c r="U9" s="4"/>
      <c r="V9" s="4"/>
      <c r="W9" s="4"/>
      <c r="X9" s="9">
        <v>2024</v>
      </c>
    </row>
    <row r="10" spans="1:24" ht="15.75">
      <c r="A10" s="9">
        <f t="shared" si="0"/>
        <v>9</v>
      </c>
      <c r="B10" s="9"/>
      <c r="C10" s="4" t="s">
        <v>65</v>
      </c>
      <c r="D10" s="4"/>
      <c r="E10" s="4" t="s">
        <v>52</v>
      </c>
      <c r="F10" s="4" t="s">
        <v>66</v>
      </c>
      <c r="G10" s="4"/>
      <c r="H10" s="4"/>
      <c r="I10" s="4" t="s">
        <v>55</v>
      </c>
      <c r="J10" s="9" t="s">
        <v>27</v>
      </c>
      <c r="K10" s="4"/>
      <c r="L10" s="4"/>
      <c r="M10" s="4"/>
      <c r="N10" s="4"/>
      <c r="O10" s="58" t="s">
        <v>166</v>
      </c>
      <c r="P10" s="3" t="s">
        <v>137</v>
      </c>
      <c r="Q10" s="12">
        <v>45292</v>
      </c>
      <c r="R10" s="4"/>
      <c r="S10" s="34">
        <v>45292</v>
      </c>
      <c r="T10" s="9"/>
      <c r="U10" s="4"/>
      <c r="V10" s="4"/>
      <c r="W10" s="4"/>
      <c r="X10" s="9">
        <v>2024</v>
      </c>
    </row>
    <row r="11" spans="1:24" ht="15.75" hidden="1">
      <c r="A11" s="9">
        <f t="shared" si="0"/>
        <v>10</v>
      </c>
      <c r="B11" s="9"/>
      <c r="C11" s="41" t="s">
        <v>67</v>
      </c>
      <c r="D11" s="4"/>
      <c r="E11" s="4" t="s">
        <v>52</v>
      </c>
      <c r="F11" s="4" t="s">
        <v>68</v>
      </c>
      <c r="G11" s="4"/>
      <c r="H11" s="4"/>
      <c r="I11" s="4" t="s">
        <v>55</v>
      </c>
      <c r="J11" s="7" t="s">
        <v>78</v>
      </c>
      <c r="K11" s="4"/>
      <c r="L11" s="4"/>
      <c r="M11" s="4"/>
      <c r="N11" s="4"/>
      <c r="O11" s="58"/>
      <c r="P11" s="3" t="s">
        <v>141</v>
      </c>
      <c r="Q11" s="12">
        <v>45292</v>
      </c>
      <c r="R11" s="4"/>
      <c r="S11" s="9"/>
      <c r="T11" s="9"/>
      <c r="U11" s="4"/>
      <c r="V11" s="4"/>
      <c r="W11" s="4"/>
      <c r="X11" s="9">
        <v>2024</v>
      </c>
    </row>
    <row r="12" spans="1:24" ht="25.5">
      <c r="A12" s="9">
        <f t="shared" si="0"/>
        <v>11</v>
      </c>
      <c r="B12" s="9">
        <v>2401</v>
      </c>
      <c r="C12" s="4" t="s">
        <v>69</v>
      </c>
      <c r="D12" s="4"/>
      <c r="E12" s="4"/>
      <c r="F12" s="4" t="s">
        <v>70</v>
      </c>
      <c r="G12" s="45" t="s">
        <v>142</v>
      </c>
      <c r="H12" s="4"/>
      <c r="I12" s="4" t="s">
        <v>26</v>
      </c>
      <c r="J12" s="9" t="s">
        <v>27</v>
      </c>
      <c r="K12" s="4"/>
      <c r="L12" s="4"/>
      <c r="M12" s="4"/>
      <c r="N12" s="4"/>
      <c r="O12" s="58" t="s">
        <v>167</v>
      </c>
      <c r="P12" s="3" t="s">
        <v>137</v>
      </c>
      <c r="Q12" s="12">
        <v>45292</v>
      </c>
      <c r="R12" s="3"/>
      <c r="S12" s="9"/>
      <c r="T12" s="9"/>
      <c r="U12" s="4"/>
      <c r="V12" s="4"/>
      <c r="W12" s="4"/>
      <c r="X12" s="9">
        <v>2024</v>
      </c>
    </row>
    <row r="13" spans="1:24" ht="15.75" hidden="1">
      <c r="A13" s="9">
        <f t="shared" si="0"/>
        <v>12</v>
      </c>
      <c r="B13" s="9">
        <v>2402</v>
      </c>
      <c r="C13" s="3" t="s">
        <v>71</v>
      </c>
      <c r="D13" s="4"/>
      <c r="E13" s="4"/>
      <c r="F13" s="4" t="s">
        <v>72</v>
      </c>
      <c r="G13" s="45" t="s">
        <v>142</v>
      </c>
      <c r="H13" s="4"/>
      <c r="I13" s="4" t="s">
        <v>26</v>
      </c>
      <c r="J13" s="7" t="s">
        <v>78</v>
      </c>
      <c r="K13" s="4"/>
      <c r="L13" s="4"/>
      <c r="M13" s="4"/>
      <c r="N13" s="4"/>
      <c r="O13" s="58"/>
      <c r="P13" s="3" t="s">
        <v>133</v>
      </c>
      <c r="Q13" s="12">
        <v>45292</v>
      </c>
      <c r="R13" s="13">
        <v>45413</v>
      </c>
      <c r="S13" s="9"/>
      <c r="T13" s="9"/>
      <c r="U13" s="4"/>
      <c r="V13" s="4"/>
      <c r="W13" s="3" t="s">
        <v>143</v>
      </c>
      <c r="X13" s="9">
        <v>2024</v>
      </c>
    </row>
    <row r="14" spans="1:24" ht="15.75">
      <c r="A14" s="9">
        <f t="shared" si="0"/>
        <v>13</v>
      </c>
      <c r="B14" s="9">
        <v>2403</v>
      </c>
      <c r="C14" s="3" t="s">
        <v>73</v>
      </c>
      <c r="D14" s="4"/>
      <c r="E14" s="4"/>
      <c r="F14" s="4" t="s">
        <v>74</v>
      </c>
      <c r="G14" s="41" t="s">
        <v>144</v>
      </c>
      <c r="H14" s="4"/>
      <c r="I14" s="4" t="s">
        <v>26</v>
      </c>
      <c r="J14" s="7" t="s">
        <v>27</v>
      </c>
      <c r="K14" s="4"/>
      <c r="L14" s="4"/>
      <c r="M14" s="4"/>
      <c r="N14" s="4"/>
      <c r="O14" s="58" t="s">
        <v>167</v>
      </c>
      <c r="P14" s="3" t="s">
        <v>140</v>
      </c>
      <c r="Q14" s="12">
        <v>45292</v>
      </c>
      <c r="R14" s="3"/>
      <c r="S14" s="9"/>
      <c r="T14" s="9"/>
      <c r="U14" s="4"/>
      <c r="V14" s="4"/>
      <c r="W14" s="4"/>
      <c r="X14" s="9"/>
    </row>
    <row r="15" spans="1:24" ht="13.5" hidden="1">
      <c r="A15" s="9">
        <f t="shared" si="0"/>
        <v>14</v>
      </c>
      <c r="B15" s="9"/>
      <c r="C15" s="40" t="s">
        <v>75</v>
      </c>
      <c r="D15" s="4"/>
      <c r="E15" s="4"/>
      <c r="F15" s="4"/>
      <c r="G15" s="4"/>
      <c r="H15" s="4"/>
      <c r="I15" s="4" t="s">
        <v>26</v>
      </c>
      <c r="J15" s="7" t="s">
        <v>78</v>
      </c>
      <c r="K15" s="4"/>
      <c r="L15" s="4"/>
      <c r="M15" s="4"/>
      <c r="N15" s="4"/>
      <c r="O15" s="4"/>
      <c r="P15" s="3"/>
      <c r="Q15" s="12"/>
      <c r="R15" s="3"/>
      <c r="S15" s="9"/>
      <c r="T15" s="9"/>
      <c r="U15" s="4"/>
      <c r="V15" s="4"/>
      <c r="W15" s="4"/>
      <c r="X15" s="9"/>
    </row>
    <row r="16" spans="1:24" ht="40.5">
      <c r="A16" s="9">
        <f t="shared" si="0"/>
        <v>15</v>
      </c>
      <c r="B16" s="9">
        <v>2404</v>
      </c>
      <c r="C16" s="3" t="s">
        <v>76</v>
      </c>
      <c r="D16" s="4"/>
      <c r="E16" s="4"/>
      <c r="F16" s="41" t="s">
        <v>145</v>
      </c>
      <c r="G16" s="41" t="s">
        <v>146</v>
      </c>
      <c r="H16" s="4"/>
      <c r="I16" s="4" t="s">
        <v>26</v>
      </c>
      <c r="J16" s="7" t="s">
        <v>27</v>
      </c>
      <c r="K16" s="4"/>
      <c r="L16" s="4"/>
      <c r="M16" s="4"/>
      <c r="N16" s="4"/>
      <c r="O16" s="58" t="s">
        <v>166</v>
      </c>
      <c r="P16" s="3" t="s">
        <v>168</v>
      </c>
      <c r="Q16" s="12">
        <v>45292</v>
      </c>
      <c r="R16" s="4"/>
      <c r="S16" s="9"/>
      <c r="T16" s="9"/>
      <c r="U16" s="4"/>
      <c r="V16" s="4"/>
      <c r="W16" s="4"/>
      <c r="X16" s="9"/>
    </row>
    <row r="17" spans="1:24" ht="13.5" hidden="1">
      <c r="A17" s="9">
        <v>13</v>
      </c>
      <c r="B17" s="9"/>
      <c r="C17" s="16" t="s">
        <v>77</v>
      </c>
      <c r="D17" s="4"/>
      <c r="E17" s="4"/>
      <c r="F17" s="4"/>
      <c r="G17" s="4"/>
      <c r="H17" s="4"/>
      <c r="I17" s="4" t="s">
        <v>26</v>
      </c>
      <c r="J17" s="7" t="s">
        <v>78</v>
      </c>
      <c r="K17" s="4"/>
      <c r="L17" s="4"/>
      <c r="M17" s="4"/>
      <c r="N17" s="4"/>
      <c r="O17" s="4"/>
      <c r="P17" s="4"/>
      <c r="Q17" s="12"/>
      <c r="R17" s="4"/>
      <c r="S17" s="9"/>
      <c r="T17" s="9"/>
      <c r="U17" s="4"/>
      <c r="V17" s="4"/>
      <c r="W17" s="3" t="s">
        <v>79</v>
      </c>
      <c r="X17" s="9">
        <v>2024</v>
      </c>
    </row>
    <row r="18" spans="1:24" ht="15.75">
      <c r="A18" s="9">
        <f t="shared" ref="A18:A30" si="1">1+A17</f>
        <v>14</v>
      </c>
      <c r="B18" s="9"/>
      <c r="C18" s="4" t="s">
        <v>80</v>
      </c>
      <c r="D18" s="4" t="s">
        <v>81</v>
      </c>
      <c r="E18" s="4"/>
      <c r="F18" s="41" t="s">
        <v>148</v>
      </c>
      <c r="G18" s="41" t="s">
        <v>149</v>
      </c>
      <c r="H18" s="4"/>
      <c r="I18" s="45" t="s">
        <v>82</v>
      </c>
      <c r="J18" s="9" t="s">
        <v>27</v>
      </c>
      <c r="K18" s="4"/>
      <c r="L18" s="4"/>
      <c r="M18" s="4"/>
      <c r="N18" s="4"/>
      <c r="O18" s="53" t="s">
        <v>169</v>
      </c>
      <c r="P18" s="3" t="s">
        <v>151</v>
      </c>
      <c r="Q18" s="12"/>
      <c r="R18" s="13">
        <v>45413</v>
      </c>
      <c r="S18" s="9"/>
      <c r="T18" s="13">
        <v>45352</v>
      </c>
      <c r="U18" s="37">
        <v>45373</v>
      </c>
      <c r="V18" s="4"/>
      <c r="W18" s="3" t="s">
        <v>83</v>
      </c>
      <c r="X18" s="9">
        <v>2024</v>
      </c>
    </row>
    <row r="19" spans="1:24" ht="15.75">
      <c r="A19" s="9">
        <f t="shared" si="1"/>
        <v>15</v>
      </c>
      <c r="B19" s="9"/>
      <c r="C19" s="4" t="s">
        <v>84</v>
      </c>
      <c r="D19" s="4"/>
      <c r="E19" s="4"/>
      <c r="F19" s="4" t="s">
        <v>85</v>
      </c>
      <c r="G19" s="41" t="s">
        <v>152</v>
      </c>
      <c r="H19" s="4"/>
      <c r="I19" s="45" t="s">
        <v>82</v>
      </c>
      <c r="J19" s="9" t="s">
        <v>27</v>
      </c>
      <c r="K19" s="4"/>
      <c r="L19" s="4"/>
      <c r="M19" s="4"/>
      <c r="N19" s="4"/>
      <c r="O19" s="53" t="s">
        <v>169</v>
      </c>
      <c r="P19" s="3" t="s">
        <v>151</v>
      </c>
      <c r="Q19" s="12"/>
      <c r="R19" s="4"/>
      <c r="S19" s="9"/>
      <c r="T19" s="9"/>
      <c r="U19" s="59" t="s">
        <v>170</v>
      </c>
      <c r="V19" s="4"/>
      <c r="W19" s="4"/>
      <c r="X19" s="9">
        <v>2024</v>
      </c>
    </row>
    <row r="20" spans="1:24" ht="25.5">
      <c r="A20" s="9">
        <f t="shared" si="1"/>
        <v>16</v>
      </c>
      <c r="B20" s="9"/>
      <c r="C20" s="4" t="s">
        <v>86</v>
      </c>
      <c r="D20" s="4"/>
      <c r="E20" s="4"/>
      <c r="F20" s="42" t="s">
        <v>153</v>
      </c>
      <c r="G20" s="41" t="s">
        <v>154</v>
      </c>
      <c r="H20" s="4"/>
      <c r="I20" s="45" t="s">
        <v>82</v>
      </c>
      <c r="J20" s="9" t="s">
        <v>27</v>
      </c>
      <c r="K20" s="4"/>
      <c r="L20" s="4"/>
      <c r="M20" s="4"/>
      <c r="N20" s="4"/>
      <c r="O20" s="53" t="s">
        <v>169</v>
      </c>
      <c r="P20" s="3" t="s">
        <v>151</v>
      </c>
      <c r="Q20" s="12"/>
      <c r="R20" s="4"/>
      <c r="S20" s="9"/>
      <c r="T20" s="9"/>
      <c r="U20" s="3" t="s">
        <v>170</v>
      </c>
      <c r="V20" s="4"/>
      <c r="W20" s="4"/>
      <c r="X20" s="9">
        <v>2024</v>
      </c>
    </row>
    <row r="21" spans="1:24" ht="15.75">
      <c r="A21" s="9">
        <f t="shared" si="1"/>
        <v>17</v>
      </c>
      <c r="B21" s="9"/>
      <c r="C21" s="45" t="s">
        <v>155</v>
      </c>
      <c r="D21" s="4"/>
      <c r="E21" s="4"/>
      <c r="F21" s="42" t="s">
        <v>156</v>
      </c>
      <c r="G21" s="41" t="s">
        <v>157</v>
      </c>
      <c r="H21" s="4"/>
      <c r="I21" s="45" t="s">
        <v>82</v>
      </c>
      <c r="J21" s="9" t="s">
        <v>27</v>
      </c>
      <c r="K21" s="4"/>
      <c r="L21" s="4"/>
      <c r="M21" s="9"/>
      <c r="N21" s="9"/>
      <c r="O21" s="53" t="s">
        <v>169</v>
      </c>
      <c r="P21" s="3" t="s">
        <v>143</v>
      </c>
      <c r="Q21" s="12"/>
      <c r="R21" s="4"/>
      <c r="S21" s="4"/>
      <c r="T21" s="4"/>
      <c r="U21" s="9"/>
      <c r="X21" s="2"/>
    </row>
    <row r="22" spans="1:24" ht="27">
      <c r="A22" s="9">
        <f t="shared" si="1"/>
        <v>18</v>
      </c>
      <c r="B22" s="9"/>
      <c r="C22" s="42" t="s">
        <v>90</v>
      </c>
      <c r="D22" s="4"/>
      <c r="E22" s="4"/>
      <c r="F22" s="45" t="s">
        <v>158</v>
      </c>
      <c r="G22" s="41" t="s">
        <v>154</v>
      </c>
      <c r="H22" s="4"/>
      <c r="I22" s="45" t="s">
        <v>82</v>
      </c>
      <c r="J22" s="9" t="s">
        <v>27</v>
      </c>
      <c r="K22" s="4"/>
      <c r="L22" s="4"/>
      <c r="M22" s="4"/>
      <c r="N22" s="4"/>
      <c r="O22" s="53" t="s">
        <v>169</v>
      </c>
      <c r="P22" s="3" t="s">
        <v>143</v>
      </c>
      <c r="Q22" s="12"/>
      <c r="R22" s="4"/>
      <c r="S22" s="9"/>
      <c r="T22" s="9"/>
      <c r="U22" s="4"/>
      <c r="V22" s="4"/>
      <c r="W22" s="4"/>
      <c r="X22" s="9">
        <v>2024</v>
      </c>
    </row>
    <row r="23" spans="1:24" ht="51">
      <c r="A23" s="9">
        <f t="shared" si="1"/>
        <v>19</v>
      </c>
      <c r="B23" s="9"/>
      <c r="C23" s="4" t="s">
        <v>91</v>
      </c>
      <c r="D23" s="4" t="s">
        <v>92</v>
      </c>
      <c r="E23" s="4" t="s">
        <v>93</v>
      </c>
      <c r="F23" s="4" t="s">
        <v>94</v>
      </c>
      <c r="G23" s="4"/>
      <c r="H23" s="4"/>
      <c r="I23" s="4" t="s">
        <v>95</v>
      </c>
      <c r="J23" s="9" t="s">
        <v>27</v>
      </c>
      <c r="K23" s="4"/>
      <c r="L23" s="4"/>
      <c r="M23" s="4"/>
      <c r="N23" s="4"/>
      <c r="O23" s="58" t="s">
        <v>166</v>
      </c>
      <c r="P23" s="4"/>
      <c r="Q23" s="12"/>
      <c r="R23" s="4"/>
      <c r="S23" s="9"/>
      <c r="T23" s="9"/>
      <c r="U23" s="4"/>
      <c r="V23" s="3" t="s">
        <v>96</v>
      </c>
      <c r="W23" s="4"/>
      <c r="X23" s="9">
        <v>2024</v>
      </c>
    </row>
    <row r="24" spans="1:24" ht="39.75">
      <c r="A24" s="9">
        <f t="shared" si="1"/>
        <v>20</v>
      </c>
      <c r="B24" s="9"/>
      <c r="C24" s="3" t="s">
        <v>97</v>
      </c>
      <c r="D24" s="3" t="s">
        <v>98</v>
      </c>
      <c r="E24" s="4"/>
      <c r="F24" s="4" t="s">
        <v>99</v>
      </c>
      <c r="G24" s="4"/>
      <c r="H24" s="4"/>
      <c r="I24" s="4" t="s">
        <v>97</v>
      </c>
      <c r="J24" s="9" t="s">
        <v>27</v>
      </c>
      <c r="K24" s="4"/>
      <c r="L24" s="4"/>
      <c r="M24" s="4"/>
      <c r="N24" s="4"/>
      <c r="O24" s="4"/>
      <c r="P24" s="4"/>
      <c r="Q24" s="12"/>
      <c r="R24" s="4"/>
      <c r="S24" s="9"/>
      <c r="T24" s="9"/>
      <c r="U24" s="4"/>
      <c r="V24" s="3" t="s">
        <v>100</v>
      </c>
      <c r="W24" s="4"/>
      <c r="X24" s="9">
        <v>2024</v>
      </c>
    </row>
    <row r="25" spans="1:24" ht="26.25">
      <c r="A25" s="9">
        <f t="shared" si="1"/>
        <v>21</v>
      </c>
      <c r="B25" s="9">
        <v>2409</v>
      </c>
      <c r="C25" s="3" t="s">
        <v>171</v>
      </c>
      <c r="D25" s="4"/>
      <c r="E25" s="4" t="s">
        <v>102</v>
      </c>
      <c r="F25" s="4" t="s">
        <v>103</v>
      </c>
      <c r="G25" s="41" t="s">
        <v>144</v>
      </c>
      <c r="H25" s="4"/>
      <c r="I25" s="46" t="s">
        <v>26</v>
      </c>
      <c r="J25" s="9" t="s">
        <v>27</v>
      </c>
      <c r="K25" s="4"/>
      <c r="L25" s="4"/>
      <c r="M25" s="4"/>
      <c r="N25" s="4"/>
      <c r="O25" s="58" t="s">
        <v>166</v>
      </c>
      <c r="P25" s="3" t="s">
        <v>137</v>
      </c>
      <c r="Q25" s="12">
        <v>45292</v>
      </c>
      <c r="R25" s="4"/>
      <c r="S25" s="9"/>
      <c r="T25" s="9"/>
      <c r="U25" s="4"/>
      <c r="V25" s="4"/>
      <c r="W25" s="46" t="s">
        <v>172</v>
      </c>
      <c r="X25" s="9">
        <v>2024</v>
      </c>
    </row>
    <row r="26" spans="1:24" ht="12.75" hidden="1">
      <c r="A26" s="9">
        <f t="shared" si="1"/>
        <v>22</v>
      </c>
      <c r="B26" s="9"/>
      <c r="C26" s="4" t="s">
        <v>105</v>
      </c>
      <c r="D26" s="4"/>
      <c r="E26" s="4" t="s">
        <v>102</v>
      </c>
      <c r="F26" s="4" t="s">
        <v>106</v>
      </c>
      <c r="G26" s="4"/>
      <c r="H26" s="4"/>
      <c r="I26" s="4" t="s">
        <v>104</v>
      </c>
      <c r="J26" s="7" t="s">
        <v>78</v>
      </c>
      <c r="K26" s="4"/>
      <c r="L26" s="4"/>
      <c r="M26" s="4"/>
      <c r="N26" s="4"/>
      <c r="O26" s="4"/>
      <c r="P26" s="4"/>
      <c r="Q26" s="12">
        <v>45292</v>
      </c>
      <c r="R26" s="12">
        <v>45352</v>
      </c>
      <c r="S26" s="9"/>
      <c r="T26" s="9"/>
      <c r="U26" s="4"/>
      <c r="V26" s="3" t="s">
        <v>107</v>
      </c>
      <c r="W26" s="4"/>
      <c r="X26" s="9">
        <v>2024</v>
      </c>
    </row>
    <row r="27" spans="1:24" ht="27">
      <c r="A27" s="9">
        <f t="shared" si="1"/>
        <v>23</v>
      </c>
      <c r="B27" s="9"/>
      <c r="C27" s="42" t="s">
        <v>160</v>
      </c>
      <c r="D27" s="4"/>
      <c r="E27" s="17" t="s">
        <v>109</v>
      </c>
      <c r="F27" s="3" t="s">
        <v>110</v>
      </c>
      <c r="G27" s="17" t="s">
        <v>161</v>
      </c>
      <c r="H27" s="4"/>
      <c r="I27" s="4" t="s">
        <v>104</v>
      </c>
      <c r="J27" s="9" t="s">
        <v>27</v>
      </c>
      <c r="K27" s="4"/>
      <c r="L27" s="4"/>
      <c r="M27" s="4"/>
      <c r="N27" s="4"/>
      <c r="O27" s="58" t="s">
        <v>166</v>
      </c>
      <c r="P27" s="3" t="s">
        <v>140</v>
      </c>
      <c r="Q27" s="12">
        <v>45292</v>
      </c>
      <c r="R27" s="4"/>
      <c r="S27" s="9"/>
      <c r="T27" s="9"/>
      <c r="U27" s="4"/>
      <c r="V27" s="4"/>
      <c r="W27" s="4"/>
      <c r="X27" s="9">
        <v>2024</v>
      </c>
    </row>
    <row r="28" spans="1:24" ht="28.5">
      <c r="A28" s="9">
        <f t="shared" si="1"/>
        <v>24</v>
      </c>
      <c r="B28" s="9"/>
      <c r="C28" s="4" t="s">
        <v>111</v>
      </c>
      <c r="D28" s="4"/>
      <c r="E28" s="4" t="s">
        <v>102</v>
      </c>
      <c r="F28" s="3" t="s">
        <v>110</v>
      </c>
      <c r="G28" s="3" t="s">
        <v>159</v>
      </c>
      <c r="H28" s="4"/>
      <c r="I28" s="4" t="s">
        <v>104</v>
      </c>
      <c r="J28" s="7" t="s">
        <v>27</v>
      </c>
      <c r="K28" s="4"/>
      <c r="L28" s="4"/>
      <c r="M28" s="4"/>
      <c r="N28" s="4"/>
      <c r="O28" s="58" t="s">
        <v>166</v>
      </c>
      <c r="P28" s="3" t="s">
        <v>143</v>
      </c>
      <c r="Q28" s="12">
        <v>45292</v>
      </c>
      <c r="R28" s="4"/>
      <c r="S28" s="9"/>
      <c r="T28" s="9"/>
      <c r="U28" s="4"/>
      <c r="V28" s="4"/>
      <c r="W28" s="4"/>
      <c r="X28" s="9">
        <v>2024</v>
      </c>
    </row>
    <row r="29" spans="1:24" ht="38.25">
      <c r="A29" s="9">
        <f t="shared" si="1"/>
        <v>25</v>
      </c>
      <c r="B29" s="9"/>
      <c r="C29" s="4" t="s">
        <v>112</v>
      </c>
      <c r="D29" s="4" t="s">
        <v>113</v>
      </c>
      <c r="E29" s="4" t="s">
        <v>52</v>
      </c>
      <c r="F29" s="4" t="s">
        <v>53</v>
      </c>
      <c r="G29" s="4"/>
      <c r="H29" s="4"/>
      <c r="I29" s="40" t="s">
        <v>55</v>
      </c>
      <c r="J29" s="7" t="s">
        <v>27</v>
      </c>
      <c r="K29" s="4"/>
      <c r="L29" s="4"/>
      <c r="M29" s="4"/>
      <c r="N29" s="4" t="s">
        <v>114</v>
      </c>
      <c r="O29" s="57" t="s">
        <v>43</v>
      </c>
      <c r="P29" s="3" t="s">
        <v>151</v>
      </c>
      <c r="Q29" s="12">
        <v>45292</v>
      </c>
      <c r="R29" s="4"/>
      <c r="S29" s="9"/>
      <c r="T29" s="9"/>
      <c r="U29" s="4"/>
      <c r="V29" s="4"/>
      <c r="W29" s="4" t="s">
        <v>115</v>
      </c>
      <c r="X29" s="9">
        <v>2023</v>
      </c>
    </row>
    <row r="30" spans="1:24" ht="13.5" hidden="1">
      <c r="A30" s="9">
        <f t="shared" si="1"/>
        <v>26</v>
      </c>
      <c r="B30" s="9"/>
      <c r="C30" s="4"/>
      <c r="D30" s="4"/>
      <c r="E30" s="4"/>
      <c r="F30" s="4"/>
      <c r="G30" s="4"/>
      <c r="H30" s="4"/>
      <c r="I30" s="40"/>
      <c r="J30" s="7"/>
      <c r="K30" s="4"/>
      <c r="L30" s="4"/>
      <c r="M30" s="4"/>
      <c r="N30" s="4"/>
      <c r="O30" s="4"/>
      <c r="P30" s="4"/>
      <c r="Q30" s="4"/>
      <c r="R30" s="4"/>
      <c r="S30" s="9"/>
      <c r="T30" s="9"/>
      <c r="U30" s="4"/>
      <c r="V30" s="4"/>
      <c r="W30" s="4"/>
      <c r="X30" s="9"/>
    </row>
    <row r="31" spans="1:24" ht="13.5" hidden="1">
      <c r="A31" s="9">
        <v>27</v>
      </c>
      <c r="B31" s="9"/>
      <c r="C31" s="16" t="s">
        <v>116</v>
      </c>
      <c r="D31" s="4"/>
      <c r="E31" s="4"/>
      <c r="F31" s="4" t="s">
        <v>117</v>
      </c>
      <c r="G31" s="4"/>
      <c r="H31" s="4"/>
      <c r="I31" s="4"/>
      <c r="J31" s="7" t="s">
        <v>78</v>
      </c>
      <c r="K31" s="4"/>
      <c r="L31" s="4"/>
      <c r="M31" s="4"/>
      <c r="N31" s="4"/>
      <c r="O31" s="4"/>
      <c r="P31" s="4"/>
      <c r="Q31" s="4"/>
      <c r="R31" s="4"/>
      <c r="S31" s="9"/>
      <c r="T31" s="9"/>
      <c r="U31" s="4"/>
      <c r="V31" s="4"/>
      <c r="W31" s="3" t="s">
        <v>79</v>
      </c>
      <c r="X31" s="9"/>
    </row>
    <row r="32" spans="1:24" ht="13.5" hidden="1">
      <c r="A32" s="9">
        <v>28</v>
      </c>
      <c r="B32" s="9"/>
      <c r="C32" s="16" t="s">
        <v>118</v>
      </c>
      <c r="D32" s="4"/>
      <c r="E32" s="4"/>
      <c r="F32" s="4" t="s">
        <v>119</v>
      </c>
      <c r="G32" s="4"/>
      <c r="H32" s="4"/>
      <c r="I32" s="4"/>
      <c r="J32" s="7" t="s">
        <v>78</v>
      </c>
      <c r="K32" s="4"/>
      <c r="L32" s="4"/>
      <c r="M32" s="4"/>
      <c r="N32" s="4"/>
      <c r="O32" s="4"/>
      <c r="P32" s="4"/>
      <c r="Q32" s="4"/>
      <c r="R32" s="4"/>
      <c r="S32" s="9"/>
      <c r="T32" s="9"/>
      <c r="U32" s="4"/>
      <c r="V32" s="4"/>
      <c r="W32" s="3" t="s">
        <v>79</v>
      </c>
      <c r="X32" s="9"/>
    </row>
    <row r="33" spans="1:24" ht="14.25" hidden="1">
      <c r="A33" s="9">
        <v>29</v>
      </c>
      <c r="B33" s="9"/>
      <c r="C33" s="16" t="s">
        <v>120</v>
      </c>
      <c r="D33" s="4"/>
      <c r="E33" s="4"/>
      <c r="F33" s="4" t="s">
        <v>121</v>
      </c>
      <c r="G33" s="4"/>
      <c r="H33" s="4"/>
      <c r="I33" s="4"/>
      <c r="J33" s="7" t="s">
        <v>78</v>
      </c>
      <c r="K33" s="4"/>
      <c r="L33" s="4"/>
      <c r="M33" s="4"/>
      <c r="N33" s="4"/>
      <c r="O33" s="4"/>
      <c r="P33" s="4"/>
      <c r="Q33" s="4"/>
      <c r="R33" s="4"/>
      <c r="S33" s="9"/>
      <c r="T33" s="9"/>
      <c r="U33" s="4"/>
      <c r="V33" s="4"/>
      <c r="W33" s="3" t="s">
        <v>79</v>
      </c>
      <c r="X33" s="9"/>
    </row>
    <row r="34" spans="1:24" ht="25.5" hidden="1">
      <c r="A34" s="9">
        <v>30</v>
      </c>
      <c r="B34" s="9"/>
      <c r="C34" s="16" t="s">
        <v>122</v>
      </c>
      <c r="D34" s="4"/>
      <c r="E34" s="4"/>
      <c r="F34" s="4"/>
      <c r="G34" s="4"/>
      <c r="H34" s="4"/>
      <c r="I34" s="4"/>
      <c r="J34" s="7" t="s">
        <v>78</v>
      </c>
      <c r="K34" s="4"/>
      <c r="L34" s="4"/>
      <c r="M34" s="4"/>
      <c r="N34" s="4"/>
      <c r="O34" s="4"/>
      <c r="P34" s="4"/>
      <c r="Q34" s="4"/>
      <c r="R34" s="4"/>
      <c r="S34" s="9"/>
      <c r="T34" s="9"/>
      <c r="U34" s="4"/>
      <c r="V34" s="4"/>
      <c r="W34" s="3" t="s">
        <v>79</v>
      </c>
      <c r="X34" s="9"/>
    </row>
    <row r="35" spans="1:24" ht="38.25" hidden="1">
      <c r="A35" s="7">
        <v>26</v>
      </c>
      <c r="B35" s="7">
        <v>2405</v>
      </c>
      <c r="C35" s="41" t="s">
        <v>162</v>
      </c>
      <c r="D35" s="41"/>
      <c r="E35" s="41"/>
      <c r="F35" s="41" t="s">
        <v>163</v>
      </c>
      <c r="G35" s="41" t="s">
        <v>164</v>
      </c>
      <c r="H35" s="41" t="s">
        <v>165</v>
      </c>
      <c r="I35" s="41" t="s">
        <v>26</v>
      </c>
      <c r="J35" s="54" t="s">
        <v>78</v>
      </c>
      <c r="K35" s="41"/>
      <c r="L35" s="41"/>
      <c r="M35" s="41"/>
      <c r="N35" s="41"/>
      <c r="O35" s="41"/>
      <c r="P35" s="41" t="s">
        <v>133</v>
      </c>
      <c r="Q35" s="12">
        <v>45352</v>
      </c>
      <c r="R35" s="12">
        <v>45413</v>
      </c>
      <c r="S35" s="41"/>
      <c r="T35" s="7"/>
      <c r="U35" s="3"/>
      <c r="V35" s="3"/>
      <c r="W35" s="3" t="s">
        <v>143</v>
      </c>
      <c r="X35" s="7"/>
    </row>
    <row r="36" spans="1:24" ht="15.75">
      <c r="A36" s="7">
        <v>27</v>
      </c>
      <c r="B36" s="7" t="s">
        <v>173</v>
      </c>
      <c r="C36" s="41" t="s">
        <v>174</v>
      </c>
      <c r="D36" s="41"/>
      <c r="E36" s="41"/>
      <c r="F36" s="41" t="s">
        <v>175</v>
      </c>
      <c r="G36" s="41" t="s">
        <v>176</v>
      </c>
      <c r="H36" s="41"/>
      <c r="I36" s="41" t="s">
        <v>26</v>
      </c>
      <c r="J36" s="54" t="s">
        <v>27</v>
      </c>
      <c r="K36" s="41"/>
      <c r="L36" s="41"/>
      <c r="M36" s="41"/>
      <c r="N36" s="41"/>
      <c r="O36" s="53" t="s">
        <v>169</v>
      </c>
      <c r="P36" s="41" t="s">
        <v>137</v>
      </c>
      <c r="Q36" s="12">
        <v>45383</v>
      </c>
      <c r="R36" s="41"/>
      <c r="S36" s="41"/>
      <c r="T36" s="7"/>
      <c r="U36" s="3"/>
      <c r="V36" s="3"/>
      <c r="W36" s="3"/>
      <c r="X36" s="7"/>
    </row>
    <row r="37" spans="1:24" ht="27">
      <c r="A37" s="7"/>
      <c r="B37" s="7" t="s">
        <v>177</v>
      </c>
      <c r="C37" s="41" t="s">
        <v>178</v>
      </c>
      <c r="D37" s="3"/>
      <c r="E37" s="3"/>
      <c r="F37" s="41" t="s">
        <v>179</v>
      </c>
      <c r="G37" s="41" t="s">
        <v>180</v>
      </c>
      <c r="H37" s="4"/>
      <c r="I37" s="41" t="s">
        <v>26</v>
      </c>
      <c r="J37" s="54" t="s">
        <v>27</v>
      </c>
      <c r="K37" s="3"/>
      <c r="L37" s="3"/>
      <c r="M37" s="3"/>
      <c r="N37" s="3"/>
      <c r="O37" s="58" t="s">
        <v>166</v>
      </c>
      <c r="P37" s="3" t="s">
        <v>137</v>
      </c>
      <c r="Q37" s="12">
        <v>45383</v>
      </c>
      <c r="R37" s="3"/>
      <c r="S37" s="7"/>
      <c r="T37" s="7"/>
      <c r="U37" s="3"/>
      <c r="V37" s="3"/>
      <c r="W37" s="3"/>
      <c r="X37" s="7"/>
    </row>
    <row r="38" spans="1:24" ht="38.25">
      <c r="A38" s="7"/>
      <c r="B38" s="7" t="s">
        <v>181</v>
      </c>
      <c r="C38" s="41" t="s">
        <v>182</v>
      </c>
      <c r="D38" s="3"/>
      <c r="E38" s="3"/>
      <c r="F38" s="41" t="s">
        <v>183</v>
      </c>
      <c r="G38" s="41" t="s">
        <v>184</v>
      </c>
      <c r="H38" s="4"/>
      <c r="I38" s="41" t="s">
        <v>26</v>
      </c>
      <c r="J38" s="54" t="s">
        <v>27</v>
      </c>
      <c r="K38" s="3"/>
      <c r="L38" s="3"/>
      <c r="M38" s="3"/>
      <c r="N38" s="3"/>
      <c r="O38" s="58" t="s">
        <v>166</v>
      </c>
      <c r="P38" s="4" t="s">
        <v>147</v>
      </c>
      <c r="Q38" s="12">
        <v>45383</v>
      </c>
      <c r="R38" s="3"/>
      <c r="S38" s="7"/>
      <c r="T38" s="7"/>
      <c r="U38" s="3"/>
      <c r="V38" s="3"/>
      <c r="W38" s="3"/>
      <c r="X38" s="7"/>
    </row>
    <row r="39" spans="1:24" ht="38.25">
      <c r="A39" s="7"/>
      <c r="B39" s="7" t="s">
        <v>185</v>
      </c>
      <c r="C39" s="41" t="s">
        <v>186</v>
      </c>
      <c r="D39" s="3"/>
      <c r="E39" s="3"/>
      <c r="F39" s="41" t="s">
        <v>175</v>
      </c>
      <c r="G39" s="41" t="s">
        <v>187</v>
      </c>
      <c r="H39" s="4"/>
      <c r="I39" s="41" t="s">
        <v>26</v>
      </c>
      <c r="J39" s="54" t="s">
        <v>27</v>
      </c>
      <c r="K39" s="3"/>
      <c r="L39" s="3"/>
      <c r="M39" s="3"/>
      <c r="N39" s="3"/>
      <c r="O39" s="58" t="s">
        <v>166</v>
      </c>
      <c r="P39" s="4" t="s">
        <v>147</v>
      </c>
      <c r="Q39" s="12">
        <v>45383</v>
      </c>
      <c r="R39" s="3"/>
      <c r="S39" s="7"/>
      <c r="T39" s="7"/>
      <c r="U39" s="3"/>
      <c r="V39" s="3"/>
      <c r="W39" s="3"/>
      <c r="X39" s="7"/>
    </row>
    <row r="40" spans="1:24" ht="15.75">
      <c r="A40" s="7"/>
      <c r="B40" s="7"/>
      <c r="C40" s="4" t="s">
        <v>188</v>
      </c>
      <c r="D40" s="4"/>
      <c r="E40" s="4"/>
      <c r="F40" s="4" t="s">
        <v>189</v>
      </c>
      <c r="G40" s="4"/>
      <c r="H40" s="4"/>
      <c r="I40" s="4" t="s">
        <v>55</v>
      </c>
      <c r="J40" s="7" t="s">
        <v>27</v>
      </c>
      <c r="K40" s="3"/>
      <c r="L40" s="3"/>
      <c r="M40" s="3"/>
      <c r="N40" s="3"/>
      <c r="O40" s="58" t="s">
        <v>166</v>
      </c>
      <c r="P40" s="3" t="s">
        <v>143</v>
      </c>
      <c r="Q40" s="12">
        <v>45413</v>
      </c>
      <c r="R40" s="3"/>
      <c r="S40" s="7"/>
      <c r="T40" s="7"/>
      <c r="U40" s="3"/>
      <c r="V40" s="3"/>
      <c r="W40" s="3"/>
      <c r="X40" s="7"/>
    </row>
    <row r="41" spans="1:24" ht="18.75">
      <c r="C41" s="47"/>
      <c r="D41" s="52"/>
      <c r="E41" s="52"/>
      <c r="F41" s="51"/>
    </row>
    <row r="42" spans="1:24" ht="18.75">
      <c r="C42" s="47"/>
      <c r="D42" s="50"/>
      <c r="E42" s="50"/>
      <c r="F42" s="51"/>
    </row>
    <row r="43" spans="1:24" ht="18.75">
      <c r="C43" s="47"/>
      <c r="D43" s="50"/>
      <c r="E43" s="50"/>
      <c r="F43" s="51"/>
    </row>
    <row r="44" spans="1:24" ht="15.75">
      <c r="D44" s="50"/>
      <c r="E44" s="50"/>
      <c r="F44" s="51"/>
    </row>
    <row r="45" spans="1:24" ht="18.75">
      <c r="D45" s="49"/>
    </row>
  </sheetData>
  <phoneticPr fontId="11" type="noConversion"/>
  <conditionalFormatting sqref="K21:L21">
    <cfRule type="cellIs" dxfId="112" priority="5" operator="equal">
      <formula>"已上線"</formula>
    </cfRule>
    <cfRule type="cellIs" dxfId="111" priority="6" operator="equal">
      <formula>"暫緩"</formula>
    </cfRule>
  </conditionalFormatting>
  <conditionalFormatting sqref="P35">
    <cfRule type="cellIs" dxfId="110" priority="3" operator="equal">
      <formula>"已上線"</formula>
    </cfRule>
    <cfRule type="cellIs" dxfId="109" priority="4" operator="equal">
      <formula>"暫緩"</formula>
    </cfRule>
  </conditionalFormatting>
  <conditionalFormatting sqref="P38:P39">
    <cfRule type="cellIs" dxfId="108" priority="1" operator="equal">
      <formula>"已上線"</formula>
    </cfRule>
    <cfRule type="cellIs" dxfId="107" priority="2" operator="equal">
      <formula>"暫緩"</formula>
    </cfRule>
  </conditionalFormatting>
  <conditionalFormatting sqref="R2 N2:N3 P2:P3 N4:P4 R5:R12 N5:N14 P5:P14 R14:R17 N15:P15 N16 P16 N17:P17 N18:N20 P18:P20 R19:R20 N22:N23 R22:R25 P23 N24:P24 N25 P25 N26:P26 N27:N29 P27:P29 R27:R29 N30:R34">
    <cfRule type="cellIs" dxfId="106" priority="7" operator="equal">
      <formula>"已上線"</formula>
    </cfRule>
    <cfRule type="cellIs" dxfId="105" priority="8" operator="equal">
      <formula>"暫緩"</formula>
    </cfRule>
  </conditionalFormatting>
  <dataValidations count="4">
    <dataValidation type="list" allowBlank="1" showErrorMessage="1" sqref="N3:N6 N8:N12 N23:N25 N17:N20 N27:N33" xr:uid="{00000000-0002-0000-0200-000000000000}">
      <formula1>"評估中,規劃中,實作中,測試中,已上線"</formula1>
    </dataValidation>
    <dataValidation type="list" allowBlank="1" showErrorMessage="1" sqref="K2:K6" xr:uid="{00000000-0002-0000-0200-000001000000}">
      <formula1>"行銷/通路,應用/服務,產品/核心,數據/分析,TBD"</formula1>
    </dataValidation>
    <dataValidation type="list" allowBlank="1" showErrorMessage="1" sqref="L2:L6" xr:uid="{00000000-0002-0000-0200-000002000000}">
      <formula1>"Cloud Migration,Cloud Native,TBD"</formula1>
    </dataValidation>
    <dataValidation type="list" allowBlank="1" showErrorMessage="1" sqref="N7 N13:N16 N22 N26 N34 N2 K21" xr:uid="{00000000-0002-0000-0200-000003000000}">
      <formula1>"評估中,規劃中,實作中,測試中,已上線,暫緩"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Y71"/>
  <sheetViews>
    <sheetView zoomScale="130" zoomScaleNormal="130" workbookViewId="0">
      <selection activeCell="E38" sqref="E38"/>
    </sheetView>
  </sheetViews>
  <sheetFormatPr defaultColWidth="19.42578125" defaultRowHeight="15"/>
  <cols>
    <col min="1" max="1" width="13.7109375" style="1" bestFit="1" customWidth="1"/>
    <col min="2" max="2" width="14.7109375" style="1" bestFit="1" customWidth="1"/>
    <col min="3" max="3" width="11.140625" style="6" bestFit="1" customWidth="1"/>
    <col min="4" max="4" width="7.42578125" style="6" bestFit="1" customWidth="1"/>
    <col min="5" max="6" width="8.42578125" style="6" bestFit="1" customWidth="1"/>
    <col min="7" max="7" width="7.85546875" style="6" bestFit="1" customWidth="1"/>
    <col min="8" max="8" width="0" hidden="1" customWidth="1"/>
    <col min="9" max="9" width="5.28515625" style="6" bestFit="1" customWidth="1"/>
    <col min="10" max="10" width="5.28515625" style="1" bestFit="1" customWidth="1"/>
    <col min="11" max="11" width="0" style="1" hidden="1" customWidth="1"/>
    <col min="12" max="14" width="0" style="2" hidden="1" customWidth="1"/>
    <col min="15" max="15" width="9" style="56" customWidth="1"/>
    <col min="16" max="16" width="14.28515625" style="1" customWidth="1"/>
    <col min="17" max="17" width="11.140625" style="1" customWidth="1"/>
    <col min="18" max="18" width="9.42578125" style="1" customWidth="1"/>
    <col min="19" max="19" width="8.140625" style="1" customWidth="1"/>
    <col min="20" max="20" width="13" style="1" customWidth="1"/>
    <col min="21" max="21" width="10.85546875" style="1" customWidth="1"/>
    <col min="22" max="22" width="8.85546875" style="2" customWidth="1"/>
    <col min="23" max="23" width="13.28515625" style="2" bestFit="1" customWidth="1"/>
    <col min="24" max="24" width="25.7109375" style="2" customWidth="1"/>
    <col min="25" max="25" width="13.28515625" style="1" bestFit="1" customWidth="1"/>
    <col min="26" max="16384" width="19.42578125" style="2"/>
  </cols>
  <sheetData>
    <row r="1" spans="1:25" s="7" customFormat="1" ht="36.950000000000003" customHeight="1">
      <c r="A1" s="9" t="s">
        <v>0</v>
      </c>
      <c r="B1" s="7" t="s">
        <v>1</v>
      </c>
      <c r="C1" s="9" t="s">
        <v>2</v>
      </c>
      <c r="D1" s="9" t="s">
        <v>3</v>
      </c>
      <c r="E1" s="9" t="s">
        <v>4</v>
      </c>
      <c r="F1" s="7" t="s">
        <v>123</v>
      </c>
      <c r="G1" s="7" t="s">
        <v>124</v>
      </c>
      <c r="H1" s="9" t="s">
        <v>6</v>
      </c>
      <c r="I1" s="9" t="s">
        <v>7</v>
      </c>
      <c r="J1" s="43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55" t="s">
        <v>13</v>
      </c>
      <c r="P1" s="44" t="s">
        <v>14</v>
      </c>
      <c r="Q1" s="44" t="s">
        <v>190</v>
      </c>
      <c r="R1" s="44" t="s">
        <v>125</v>
      </c>
      <c r="S1" s="44" t="s">
        <v>126</v>
      </c>
      <c r="T1" s="9" t="s">
        <v>15</v>
      </c>
      <c r="U1" s="9" t="s">
        <v>16</v>
      </c>
      <c r="V1" s="44" t="s">
        <v>17</v>
      </c>
      <c r="W1" s="9" t="s">
        <v>18</v>
      </c>
      <c r="X1" s="9" t="s">
        <v>19</v>
      </c>
      <c r="Y1" s="9" t="s">
        <v>20</v>
      </c>
    </row>
    <row r="2" spans="1:25" ht="51" hidden="1">
      <c r="A2" s="9">
        <v>1</v>
      </c>
      <c r="B2" s="9">
        <v>2301</v>
      </c>
      <c r="C2" s="4" t="s">
        <v>21</v>
      </c>
      <c r="D2" s="4" t="s">
        <v>22</v>
      </c>
      <c r="E2" s="4" t="s">
        <v>23</v>
      </c>
      <c r="F2" s="4" t="s">
        <v>24</v>
      </c>
      <c r="G2" s="41" t="s">
        <v>127</v>
      </c>
      <c r="H2" s="17" t="s">
        <v>25</v>
      </c>
      <c r="I2" s="4" t="s">
        <v>26</v>
      </c>
      <c r="J2" s="9" t="s">
        <v>27</v>
      </c>
      <c r="K2" s="4" t="s">
        <v>28</v>
      </c>
      <c r="L2" s="4" t="s">
        <v>29</v>
      </c>
      <c r="M2" s="4"/>
      <c r="N2" s="4" t="s">
        <v>30</v>
      </c>
      <c r="O2" s="58" t="s">
        <v>166</v>
      </c>
      <c r="P2" s="3" t="s">
        <v>191</v>
      </c>
      <c r="Q2" s="3"/>
      <c r="R2" s="13">
        <v>45292</v>
      </c>
      <c r="S2" s="4"/>
      <c r="T2" s="11">
        <v>44866</v>
      </c>
      <c r="U2" s="9"/>
      <c r="V2" s="4"/>
      <c r="W2" s="4" t="s">
        <v>31</v>
      </c>
      <c r="X2" s="14" t="s">
        <v>32</v>
      </c>
      <c r="Y2" s="9">
        <v>2024</v>
      </c>
    </row>
    <row r="3" spans="1:25" ht="51" hidden="1">
      <c r="A3" s="9">
        <f>1+A2</f>
        <v>2</v>
      </c>
      <c r="B3" s="9">
        <v>2302</v>
      </c>
      <c r="C3" s="4" t="s">
        <v>33</v>
      </c>
      <c r="D3" s="4"/>
      <c r="E3" s="4" t="s">
        <v>34</v>
      </c>
      <c r="F3" s="42" t="s">
        <v>129</v>
      </c>
      <c r="G3" s="45" t="s">
        <v>130</v>
      </c>
      <c r="H3" s="17" t="s">
        <v>25</v>
      </c>
      <c r="I3" s="4" t="s">
        <v>26</v>
      </c>
      <c r="J3" s="9" t="s">
        <v>27</v>
      </c>
      <c r="K3" s="4" t="s">
        <v>28</v>
      </c>
      <c r="L3" s="4" t="s">
        <v>29</v>
      </c>
      <c r="M3" s="4"/>
      <c r="N3" s="4" t="s">
        <v>36</v>
      </c>
      <c r="O3" s="58" t="s">
        <v>166</v>
      </c>
      <c r="P3" s="3" t="s">
        <v>192</v>
      </c>
      <c r="Q3" s="3"/>
      <c r="R3" s="13">
        <v>45292</v>
      </c>
      <c r="S3" s="13">
        <v>45413</v>
      </c>
      <c r="T3" s="12">
        <v>44866</v>
      </c>
      <c r="U3" s="13">
        <v>45292</v>
      </c>
      <c r="V3" s="37">
        <v>45317</v>
      </c>
      <c r="W3" s="4" t="s">
        <v>31</v>
      </c>
      <c r="X3" s="4" t="s">
        <v>37</v>
      </c>
      <c r="Y3" s="9">
        <v>2024</v>
      </c>
    </row>
    <row r="4" spans="1:25" ht="54" hidden="1">
      <c r="A4" s="9">
        <f t="shared" ref="A4:A16" si="0">1+A3</f>
        <v>3</v>
      </c>
      <c r="B4" s="9">
        <v>2303</v>
      </c>
      <c r="C4" s="28" t="s">
        <v>38</v>
      </c>
      <c r="D4" s="4"/>
      <c r="E4" s="4" t="s">
        <v>39</v>
      </c>
      <c r="F4" s="4" t="s">
        <v>40</v>
      </c>
      <c r="G4" s="41" t="s">
        <v>132</v>
      </c>
      <c r="H4" s="17" t="s">
        <v>25</v>
      </c>
      <c r="I4" s="4" t="s">
        <v>26</v>
      </c>
      <c r="J4" s="9" t="s">
        <v>27</v>
      </c>
      <c r="K4" s="4" t="s">
        <v>28</v>
      </c>
      <c r="L4" s="4" t="s">
        <v>41</v>
      </c>
      <c r="M4" s="4"/>
      <c r="N4" s="4" t="s">
        <v>42</v>
      </c>
      <c r="O4" s="60" t="s">
        <v>43</v>
      </c>
      <c r="P4" s="4" t="s">
        <v>133</v>
      </c>
      <c r="Q4" s="4"/>
      <c r="R4" s="13">
        <v>45292</v>
      </c>
      <c r="S4" s="13">
        <v>45352</v>
      </c>
      <c r="T4" s="12">
        <v>44866</v>
      </c>
      <c r="U4" s="15" t="s">
        <v>44</v>
      </c>
      <c r="V4" s="13">
        <v>45352</v>
      </c>
      <c r="W4" s="4" t="s">
        <v>31</v>
      </c>
      <c r="X4" s="3" t="s">
        <v>134</v>
      </c>
      <c r="Y4" s="9">
        <v>2024</v>
      </c>
    </row>
    <row r="5" spans="1:25" ht="12" hidden="1" customHeight="1">
      <c r="A5" s="9">
        <f t="shared" si="0"/>
        <v>4</v>
      </c>
      <c r="B5" s="9">
        <v>2304</v>
      </c>
      <c r="C5" s="17" t="s">
        <v>46</v>
      </c>
      <c r="D5" s="4"/>
      <c r="E5" s="4" t="s">
        <v>34</v>
      </c>
      <c r="F5" s="42" t="s">
        <v>135</v>
      </c>
      <c r="G5" s="41" t="s">
        <v>136</v>
      </c>
      <c r="H5" s="3" t="s">
        <v>48</v>
      </c>
      <c r="I5" s="4" t="s">
        <v>26</v>
      </c>
      <c r="J5" s="9" t="s">
        <v>27</v>
      </c>
      <c r="K5" s="4" t="s">
        <v>28</v>
      </c>
      <c r="L5" s="4" t="s">
        <v>41</v>
      </c>
      <c r="M5" s="4"/>
      <c r="N5" s="4" t="s">
        <v>42</v>
      </c>
      <c r="O5" s="58" t="s">
        <v>166</v>
      </c>
      <c r="P5" s="3" t="s">
        <v>191</v>
      </c>
      <c r="Q5" s="3"/>
      <c r="R5" s="13">
        <v>45292</v>
      </c>
      <c r="S5" s="3"/>
      <c r="T5" s="12">
        <v>44866</v>
      </c>
      <c r="U5" s="9"/>
      <c r="V5" s="4"/>
      <c r="W5" s="4" t="s">
        <v>31</v>
      </c>
      <c r="X5" s="3" t="s">
        <v>49</v>
      </c>
      <c r="Y5" s="9">
        <v>2024</v>
      </c>
    </row>
    <row r="6" spans="1:25" ht="84">
      <c r="A6" s="9">
        <f t="shared" si="0"/>
        <v>5</v>
      </c>
      <c r="B6" s="9"/>
      <c r="C6" s="28" t="s">
        <v>50</v>
      </c>
      <c r="D6" s="4" t="s">
        <v>51</v>
      </c>
      <c r="E6" s="4" t="s">
        <v>52</v>
      </c>
      <c r="F6" s="4" t="s">
        <v>53</v>
      </c>
      <c r="G6" s="4"/>
      <c r="H6" s="3" t="s">
        <v>54</v>
      </c>
      <c r="I6" s="4" t="s">
        <v>55</v>
      </c>
      <c r="J6" s="9" t="s">
        <v>27</v>
      </c>
      <c r="K6" s="4" t="s">
        <v>28</v>
      </c>
      <c r="L6" s="4" t="s">
        <v>29</v>
      </c>
      <c r="M6" s="4"/>
      <c r="N6" s="4" t="s">
        <v>36</v>
      </c>
      <c r="O6" s="58" t="s">
        <v>166</v>
      </c>
      <c r="P6" s="3" t="s">
        <v>191</v>
      </c>
      <c r="Q6" s="3"/>
      <c r="R6" s="12">
        <v>45292</v>
      </c>
      <c r="S6" s="4"/>
      <c r="T6" s="12">
        <v>44835</v>
      </c>
      <c r="U6" s="13">
        <v>45047</v>
      </c>
      <c r="V6" s="4"/>
      <c r="W6" s="4" t="s">
        <v>31</v>
      </c>
      <c r="X6" s="14" t="s">
        <v>56</v>
      </c>
      <c r="Y6" s="9">
        <v>2024</v>
      </c>
    </row>
    <row r="7" spans="1:25" ht="25.5">
      <c r="A7" s="9">
        <f t="shared" si="0"/>
        <v>6</v>
      </c>
      <c r="B7" s="9"/>
      <c r="C7" s="4" t="s">
        <v>57</v>
      </c>
      <c r="D7" s="4" t="s">
        <v>58</v>
      </c>
      <c r="E7" s="4" t="s">
        <v>52</v>
      </c>
      <c r="F7" s="4" t="s">
        <v>59</v>
      </c>
      <c r="G7" s="4"/>
      <c r="H7" s="4"/>
      <c r="I7" s="4" t="s">
        <v>55</v>
      </c>
      <c r="J7" s="7" t="s">
        <v>78</v>
      </c>
      <c r="K7" s="4"/>
      <c r="L7" s="4"/>
      <c r="M7" s="4"/>
      <c r="N7" s="4"/>
      <c r="O7" s="58"/>
      <c r="P7" s="3" t="s">
        <v>138</v>
      </c>
      <c r="Q7" s="3"/>
      <c r="R7" s="12">
        <v>45292</v>
      </c>
      <c r="S7" s="4"/>
      <c r="T7" s="9"/>
      <c r="U7" s="9"/>
      <c r="V7" s="4"/>
      <c r="W7" s="4"/>
      <c r="X7" s="3" t="s">
        <v>60</v>
      </c>
      <c r="Y7" s="9">
        <v>2024</v>
      </c>
    </row>
    <row r="8" spans="1:25" ht="27">
      <c r="A8" s="9">
        <f t="shared" si="0"/>
        <v>7</v>
      </c>
      <c r="B8" s="9"/>
      <c r="C8" s="3" t="s">
        <v>139</v>
      </c>
      <c r="D8" s="4"/>
      <c r="E8" s="4" t="s">
        <v>52</v>
      </c>
      <c r="F8" s="4" t="s">
        <v>62</v>
      </c>
      <c r="G8" s="4"/>
      <c r="H8" s="4"/>
      <c r="I8" s="4" t="s">
        <v>55</v>
      </c>
      <c r="J8" s="9" t="s">
        <v>27</v>
      </c>
      <c r="K8" s="4"/>
      <c r="L8" s="4"/>
      <c r="M8" s="4"/>
      <c r="N8" s="4" t="s">
        <v>42</v>
      </c>
      <c r="O8" s="58" t="s">
        <v>166</v>
      </c>
      <c r="P8" s="3" t="s">
        <v>193</v>
      </c>
      <c r="Q8" s="3"/>
      <c r="R8" s="12">
        <v>45292</v>
      </c>
      <c r="S8" s="4"/>
      <c r="T8" s="9"/>
      <c r="U8" s="9"/>
      <c r="V8" s="4"/>
      <c r="W8" s="4"/>
      <c r="X8" s="4"/>
      <c r="Y8" s="9">
        <v>2024</v>
      </c>
    </row>
    <row r="9" spans="1:25" ht="25.5">
      <c r="A9" s="9">
        <f t="shared" si="0"/>
        <v>8</v>
      </c>
      <c r="B9" s="9"/>
      <c r="C9" s="4" t="s">
        <v>63</v>
      </c>
      <c r="D9" s="4"/>
      <c r="E9" s="4" t="s">
        <v>52</v>
      </c>
      <c r="F9" s="4" t="s">
        <v>64</v>
      </c>
      <c r="G9" s="4"/>
      <c r="H9" s="4"/>
      <c r="I9" s="4" t="s">
        <v>55</v>
      </c>
      <c r="J9" s="9" t="s">
        <v>27</v>
      </c>
      <c r="K9" s="4"/>
      <c r="L9" s="4"/>
      <c r="M9" s="4"/>
      <c r="N9" s="4"/>
      <c r="O9" s="58" t="s">
        <v>166</v>
      </c>
      <c r="P9" s="3" t="s">
        <v>191</v>
      </c>
      <c r="Q9" s="3"/>
      <c r="R9" s="12">
        <v>45292</v>
      </c>
      <c r="S9" s="4"/>
      <c r="T9" s="12">
        <v>45292</v>
      </c>
      <c r="U9" s="9"/>
      <c r="V9" s="4"/>
      <c r="W9" s="4"/>
      <c r="X9" s="4"/>
      <c r="Y9" s="9">
        <v>2024</v>
      </c>
    </row>
    <row r="10" spans="1:25" ht="25.5">
      <c r="A10" s="9">
        <f t="shared" si="0"/>
        <v>9</v>
      </c>
      <c r="B10" s="9"/>
      <c r="C10" s="4" t="s">
        <v>65</v>
      </c>
      <c r="D10" s="4"/>
      <c r="E10" s="4" t="s">
        <v>52</v>
      </c>
      <c r="F10" s="4" t="s">
        <v>66</v>
      </c>
      <c r="G10" s="4"/>
      <c r="H10" s="4"/>
      <c r="I10" s="4" t="s">
        <v>55</v>
      </c>
      <c r="J10" s="9" t="s">
        <v>27</v>
      </c>
      <c r="K10" s="4"/>
      <c r="L10" s="4"/>
      <c r="M10" s="4"/>
      <c r="N10" s="4"/>
      <c r="O10" s="58" t="s">
        <v>166</v>
      </c>
      <c r="P10" s="3" t="s">
        <v>194</v>
      </c>
      <c r="Q10" s="3"/>
      <c r="R10" s="12">
        <v>45292</v>
      </c>
      <c r="S10" s="4"/>
      <c r="T10" s="12">
        <v>45292</v>
      </c>
      <c r="U10" s="9"/>
      <c r="V10" s="4"/>
      <c r="W10" s="4"/>
      <c r="X10" s="4"/>
      <c r="Y10" s="9">
        <v>2024</v>
      </c>
    </row>
    <row r="11" spans="1:25" ht="39">
      <c r="A11" s="9">
        <f t="shared" si="0"/>
        <v>10</v>
      </c>
      <c r="B11" s="9"/>
      <c r="C11" s="41" t="s">
        <v>67</v>
      </c>
      <c r="D11" s="4"/>
      <c r="E11" s="4" t="s">
        <v>52</v>
      </c>
      <c r="F11" s="4" t="s">
        <v>68</v>
      </c>
      <c r="G11" s="4"/>
      <c r="H11" s="4"/>
      <c r="I11" s="4" t="s">
        <v>55</v>
      </c>
      <c r="J11" s="7" t="s">
        <v>78</v>
      </c>
      <c r="K11" s="4"/>
      <c r="L11" s="4"/>
      <c r="M11" s="4"/>
      <c r="N11" s="4"/>
      <c r="O11" s="58"/>
      <c r="P11" s="3"/>
      <c r="Q11" s="3"/>
      <c r="R11" s="12">
        <v>45292</v>
      </c>
      <c r="S11" s="4"/>
      <c r="T11" s="9"/>
      <c r="U11" s="9"/>
      <c r="V11" s="4"/>
      <c r="W11" s="4"/>
      <c r="X11" s="4"/>
      <c r="Y11" s="9">
        <v>2024</v>
      </c>
    </row>
    <row r="12" spans="1:25" ht="25.5" hidden="1">
      <c r="A12" s="9">
        <f t="shared" si="0"/>
        <v>11</v>
      </c>
      <c r="B12" s="9">
        <v>2401</v>
      </c>
      <c r="C12" s="4" t="s">
        <v>69</v>
      </c>
      <c r="D12" s="4"/>
      <c r="E12" s="4"/>
      <c r="F12" s="4" t="s">
        <v>70</v>
      </c>
      <c r="G12" s="45" t="s">
        <v>142</v>
      </c>
      <c r="H12" s="4"/>
      <c r="I12" s="4" t="s">
        <v>26</v>
      </c>
      <c r="J12" s="9" t="s">
        <v>27</v>
      </c>
      <c r="K12" s="4"/>
      <c r="L12" s="4"/>
      <c r="M12" s="4"/>
      <c r="N12" s="4"/>
      <c r="O12" s="58" t="s">
        <v>167</v>
      </c>
      <c r="P12" s="3" t="s">
        <v>194</v>
      </c>
      <c r="Q12" s="3"/>
      <c r="R12" s="12">
        <v>45292</v>
      </c>
      <c r="S12" s="3"/>
      <c r="T12" s="9"/>
      <c r="U12" s="9"/>
      <c r="V12" s="4"/>
      <c r="W12" s="4"/>
      <c r="X12" s="4"/>
      <c r="Y12" s="9">
        <v>2024</v>
      </c>
    </row>
    <row r="13" spans="1:25" ht="27" hidden="1">
      <c r="A13" s="9">
        <f t="shared" si="0"/>
        <v>12</v>
      </c>
      <c r="B13" s="9">
        <v>2402</v>
      </c>
      <c r="C13" s="3" t="s">
        <v>71</v>
      </c>
      <c r="D13" s="4"/>
      <c r="E13" s="4"/>
      <c r="F13" s="4" t="s">
        <v>72</v>
      </c>
      <c r="G13" s="45" t="s">
        <v>142</v>
      </c>
      <c r="H13" s="4"/>
      <c r="I13" s="4" t="s">
        <v>26</v>
      </c>
      <c r="J13" s="7" t="s">
        <v>78</v>
      </c>
      <c r="K13" s="4"/>
      <c r="L13" s="4"/>
      <c r="M13" s="4"/>
      <c r="N13" s="4"/>
      <c r="O13" s="58"/>
      <c r="P13" s="3" t="s">
        <v>133</v>
      </c>
      <c r="Q13" s="3"/>
      <c r="R13" s="12">
        <v>45292</v>
      </c>
      <c r="S13" s="13">
        <v>45413</v>
      </c>
      <c r="T13" s="9"/>
      <c r="U13" s="9"/>
      <c r="V13" s="4"/>
      <c r="W13" s="4"/>
      <c r="X13" s="3" t="s">
        <v>143</v>
      </c>
      <c r="Y13" s="9">
        <v>2024</v>
      </c>
    </row>
    <row r="14" spans="1:25" ht="27" hidden="1">
      <c r="A14" s="9">
        <f t="shared" si="0"/>
        <v>13</v>
      </c>
      <c r="B14" s="9">
        <v>2403</v>
      </c>
      <c r="C14" s="3" t="s">
        <v>73</v>
      </c>
      <c r="D14" s="4"/>
      <c r="E14" s="4"/>
      <c r="F14" s="4" t="s">
        <v>74</v>
      </c>
      <c r="G14" s="41" t="s">
        <v>144</v>
      </c>
      <c r="H14" s="4"/>
      <c r="I14" s="4" t="s">
        <v>26</v>
      </c>
      <c r="J14" s="7" t="s">
        <v>27</v>
      </c>
      <c r="K14" s="4"/>
      <c r="L14" s="4"/>
      <c r="M14" s="4"/>
      <c r="N14" s="4"/>
      <c r="O14" s="61" t="s">
        <v>195</v>
      </c>
      <c r="P14" s="3" t="s">
        <v>191</v>
      </c>
      <c r="Q14" s="3"/>
      <c r="R14" s="12">
        <v>45292</v>
      </c>
      <c r="S14" s="3"/>
      <c r="T14" s="9"/>
      <c r="U14" s="9"/>
      <c r="V14" s="4"/>
      <c r="W14" s="4"/>
      <c r="X14" s="4"/>
      <c r="Y14" s="9"/>
    </row>
    <row r="15" spans="1:25" ht="27" hidden="1">
      <c r="A15" s="9">
        <f t="shared" si="0"/>
        <v>14</v>
      </c>
      <c r="B15" s="9"/>
      <c r="C15" s="40" t="s">
        <v>75</v>
      </c>
      <c r="D15" s="4"/>
      <c r="E15" s="4"/>
      <c r="F15" s="4"/>
      <c r="G15" s="4"/>
      <c r="H15" s="4"/>
      <c r="I15" s="4" t="s">
        <v>26</v>
      </c>
      <c r="J15" s="7" t="s">
        <v>78</v>
      </c>
      <c r="K15" s="4"/>
      <c r="L15" s="4"/>
      <c r="M15" s="4"/>
      <c r="N15" s="4"/>
      <c r="O15" s="4"/>
      <c r="P15" s="3"/>
      <c r="Q15" s="3"/>
      <c r="R15" s="12"/>
      <c r="S15" s="3"/>
      <c r="T15" s="9"/>
      <c r="U15" s="9"/>
      <c r="V15" s="4"/>
      <c r="W15" s="4"/>
      <c r="X15" s="4"/>
      <c r="Y15" s="9"/>
    </row>
    <row r="16" spans="1:25" ht="27" hidden="1">
      <c r="A16" s="9">
        <f t="shared" si="0"/>
        <v>15</v>
      </c>
      <c r="B16" s="9">
        <v>2404</v>
      </c>
      <c r="C16" s="3" t="s">
        <v>76</v>
      </c>
      <c r="D16" s="4"/>
      <c r="E16" s="4"/>
      <c r="F16" s="41" t="s">
        <v>145</v>
      </c>
      <c r="G16" s="41" t="s">
        <v>146</v>
      </c>
      <c r="H16" s="4"/>
      <c r="I16" s="4" t="s">
        <v>26</v>
      </c>
      <c r="J16" s="7" t="s">
        <v>27</v>
      </c>
      <c r="K16" s="4"/>
      <c r="L16" s="4"/>
      <c r="M16" s="4"/>
      <c r="N16" s="4"/>
      <c r="O16" s="58" t="s">
        <v>166</v>
      </c>
      <c r="P16" s="3" t="s">
        <v>194</v>
      </c>
      <c r="Q16" s="3"/>
      <c r="R16" s="12">
        <v>45292</v>
      </c>
      <c r="S16" s="4"/>
      <c r="T16" s="9"/>
      <c r="U16" s="9"/>
      <c r="V16" s="4"/>
      <c r="W16" s="4"/>
      <c r="X16" s="4"/>
      <c r="Y16" s="9"/>
    </row>
    <row r="17" spans="1:25" ht="38.25" hidden="1">
      <c r="A17" s="9">
        <v>13</v>
      </c>
      <c r="B17" s="9"/>
      <c r="C17" s="16" t="s">
        <v>77</v>
      </c>
      <c r="D17" s="4"/>
      <c r="E17" s="4"/>
      <c r="F17" s="4"/>
      <c r="G17" s="4"/>
      <c r="H17" s="4"/>
      <c r="I17" s="45" t="s">
        <v>196</v>
      </c>
      <c r="J17" s="7" t="s">
        <v>78</v>
      </c>
      <c r="K17" s="4"/>
      <c r="L17" s="4"/>
      <c r="M17" s="4"/>
      <c r="N17" s="4"/>
      <c r="O17" s="4"/>
      <c r="P17" s="4"/>
      <c r="Q17" s="4"/>
      <c r="R17" s="12"/>
      <c r="S17" s="4"/>
      <c r="T17" s="9"/>
      <c r="U17" s="9"/>
      <c r="V17" s="4"/>
      <c r="W17" s="4"/>
      <c r="X17" s="3" t="s">
        <v>79</v>
      </c>
      <c r="Y17" s="9">
        <v>2024</v>
      </c>
    </row>
    <row r="18" spans="1:25" ht="25.5" hidden="1">
      <c r="A18" s="9">
        <f t="shared" ref="A18:A45" si="1">1+A17</f>
        <v>14</v>
      </c>
      <c r="B18" s="9"/>
      <c r="C18" s="4" t="s">
        <v>80</v>
      </c>
      <c r="D18" s="4" t="s">
        <v>81</v>
      </c>
      <c r="E18" s="4"/>
      <c r="F18" s="41" t="s">
        <v>148</v>
      </c>
      <c r="G18" s="41" t="s">
        <v>149</v>
      </c>
      <c r="H18" s="4"/>
      <c r="I18" s="45" t="s">
        <v>82</v>
      </c>
      <c r="J18" s="9" t="s">
        <v>27</v>
      </c>
      <c r="K18" s="4"/>
      <c r="L18" s="4"/>
      <c r="M18" s="4"/>
      <c r="N18" s="4"/>
      <c r="O18" s="53" t="s">
        <v>169</v>
      </c>
      <c r="P18" s="3" t="s">
        <v>192</v>
      </c>
      <c r="Q18" s="3"/>
      <c r="R18" s="12"/>
      <c r="S18" s="13">
        <v>45413</v>
      </c>
      <c r="T18" s="9"/>
      <c r="U18" s="13">
        <v>45352</v>
      </c>
      <c r="V18" s="37">
        <v>45373</v>
      </c>
      <c r="W18" s="4"/>
      <c r="X18" s="3" t="s">
        <v>83</v>
      </c>
      <c r="Y18" s="9">
        <v>2024</v>
      </c>
    </row>
    <row r="19" spans="1:25" ht="25.5" hidden="1">
      <c r="A19" s="9">
        <f t="shared" si="1"/>
        <v>15</v>
      </c>
      <c r="B19" s="9"/>
      <c r="C19" s="4" t="s">
        <v>84</v>
      </c>
      <c r="D19" s="4"/>
      <c r="E19" s="4"/>
      <c r="F19" s="4" t="s">
        <v>85</v>
      </c>
      <c r="G19" s="41" t="s">
        <v>152</v>
      </c>
      <c r="H19" s="4"/>
      <c r="I19" s="45" t="s">
        <v>82</v>
      </c>
      <c r="J19" s="9" t="s">
        <v>27</v>
      </c>
      <c r="K19" s="4"/>
      <c r="L19" s="4"/>
      <c r="M19" s="4"/>
      <c r="N19" s="4"/>
      <c r="O19" s="53" t="s">
        <v>169</v>
      </c>
      <c r="P19" s="3" t="s">
        <v>192</v>
      </c>
      <c r="Q19" s="3"/>
      <c r="R19" s="12"/>
      <c r="S19" s="4"/>
      <c r="T19" s="9"/>
      <c r="U19" s="9"/>
      <c r="V19" s="59" t="s">
        <v>170</v>
      </c>
      <c r="W19" s="4"/>
      <c r="X19" s="4"/>
      <c r="Y19" s="9">
        <v>2024</v>
      </c>
    </row>
    <row r="20" spans="1:25" ht="38.25" hidden="1">
      <c r="A20" s="9">
        <f t="shared" si="1"/>
        <v>16</v>
      </c>
      <c r="B20" s="9"/>
      <c r="C20" s="4" t="s">
        <v>86</v>
      </c>
      <c r="D20" s="4"/>
      <c r="E20" s="4"/>
      <c r="F20" s="42" t="s">
        <v>153</v>
      </c>
      <c r="G20" s="41" t="s">
        <v>154</v>
      </c>
      <c r="H20" s="4"/>
      <c r="I20" s="45" t="s">
        <v>82</v>
      </c>
      <c r="J20" s="9" t="s">
        <v>27</v>
      </c>
      <c r="K20" s="4"/>
      <c r="L20" s="4"/>
      <c r="M20" s="4"/>
      <c r="N20" s="4"/>
      <c r="O20" s="53" t="s">
        <v>169</v>
      </c>
      <c r="P20" s="3" t="s">
        <v>192</v>
      </c>
      <c r="Q20" s="3"/>
      <c r="R20" s="12"/>
      <c r="S20" s="4"/>
      <c r="T20" s="9"/>
      <c r="U20" s="9"/>
      <c r="V20" s="3" t="s">
        <v>170</v>
      </c>
      <c r="W20" s="4"/>
      <c r="X20" s="4"/>
      <c r="Y20" s="9">
        <v>2024</v>
      </c>
    </row>
    <row r="21" spans="1:25" ht="27" hidden="1">
      <c r="A21" s="9">
        <f t="shared" si="1"/>
        <v>17</v>
      </c>
      <c r="B21" s="9"/>
      <c r="C21" s="45" t="s">
        <v>155</v>
      </c>
      <c r="D21" s="4"/>
      <c r="E21" s="4"/>
      <c r="F21" s="42" t="s">
        <v>156</v>
      </c>
      <c r="G21" s="41" t="s">
        <v>157</v>
      </c>
      <c r="H21" s="4"/>
      <c r="I21" s="45" t="s">
        <v>82</v>
      </c>
      <c r="J21" s="9" t="s">
        <v>27</v>
      </c>
      <c r="K21" s="4"/>
      <c r="L21" s="4"/>
      <c r="M21" s="9"/>
      <c r="N21" s="9"/>
      <c r="O21" s="53" t="s">
        <v>169</v>
      </c>
      <c r="P21" s="3" t="s">
        <v>197</v>
      </c>
      <c r="Q21" s="3"/>
      <c r="R21" s="12"/>
      <c r="S21" s="4"/>
      <c r="T21" s="4"/>
      <c r="U21" s="4"/>
      <c r="V21" s="9"/>
      <c r="Y21" s="2"/>
    </row>
    <row r="22" spans="1:25" ht="39.75" hidden="1">
      <c r="A22" s="9">
        <f t="shared" si="1"/>
        <v>18</v>
      </c>
      <c r="B22" s="9"/>
      <c r="C22" s="42" t="s">
        <v>90</v>
      </c>
      <c r="D22" s="4"/>
      <c r="E22" s="4"/>
      <c r="F22" s="45" t="s">
        <v>158</v>
      </c>
      <c r="G22" s="41" t="s">
        <v>154</v>
      </c>
      <c r="H22" s="4"/>
      <c r="I22" s="45" t="s">
        <v>82</v>
      </c>
      <c r="J22" s="7" t="s">
        <v>27</v>
      </c>
      <c r="K22" s="4"/>
      <c r="L22" s="4"/>
      <c r="M22" s="4"/>
      <c r="N22" s="4"/>
      <c r="O22" s="53" t="s">
        <v>169</v>
      </c>
      <c r="P22" s="3" t="s">
        <v>197</v>
      </c>
      <c r="Q22" s="3"/>
      <c r="R22" s="12"/>
      <c r="S22" s="4"/>
      <c r="T22" s="9"/>
      <c r="U22" s="9"/>
      <c r="V22" s="4"/>
      <c r="W22" s="4"/>
      <c r="X22" s="4"/>
      <c r="Y22" s="9">
        <v>2024</v>
      </c>
    </row>
    <row r="23" spans="1:25" ht="102" hidden="1">
      <c r="A23" s="9">
        <f t="shared" si="1"/>
        <v>19</v>
      </c>
      <c r="B23" s="9"/>
      <c r="C23" s="4" t="s">
        <v>91</v>
      </c>
      <c r="D23" s="4" t="s">
        <v>92</v>
      </c>
      <c r="E23" s="4" t="s">
        <v>93</v>
      </c>
      <c r="F23" s="4" t="s">
        <v>94</v>
      </c>
      <c r="G23" s="4"/>
      <c r="H23" s="4"/>
      <c r="I23" s="4" t="s">
        <v>95</v>
      </c>
      <c r="J23" s="9" t="s">
        <v>27</v>
      </c>
      <c r="K23" s="4"/>
      <c r="L23" s="4"/>
      <c r="M23" s="4"/>
      <c r="N23" s="4"/>
      <c r="O23" s="58" t="s">
        <v>166</v>
      </c>
      <c r="P23" s="3" t="s">
        <v>194</v>
      </c>
      <c r="Q23" s="4"/>
      <c r="R23" s="12"/>
      <c r="S23" s="4"/>
      <c r="T23" s="9"/>
      <c r="U23" s="9"/>
      <c r="V23" s="4"/>
      <c r="W23" s="3" t="s">
        <v>96</v>
      </c>
      <c r="X23" s="4"/>
      <c r="Y23" s="9">
        <v>2024</v>
      </c>
    </row>
    <row r="24" spans="1:25" ht="91.5" hidden="1">
      <c r="A24" s="9">
        <f t="shared" si="1"/>
        <v>20</v>
      </c>
      <c r="B24" s="9"/>
      <c r="C24" s="3" t="s">
        <v>97</v>
      </c>
      <c r="D24" s="3" t="s">
        <v>98</v>
      </c>
      <c r="E24" s="4"/>
      <c r="F24" s="4" t="s">
        <v>99</v>
      </c>
      <c r="G24" s="4"/>
      <c r="H24" s="4"/>
      <c r="I24" s="4" t="s">
        <v>97</v>
      </c>
      <c r="J24" s="9" t="s">
        <v>27</v>
      </c>
      <c r="K24" s="4"/>
      <c r="L24" s="4"/>
      <c r="M24" s="4"/>
      <c r="N24" s="4"/>
      <c r="O24" s="4"/>
      <c r="P24" s="3" t="s">
        <v>193</v>
      </c>
      <c r="Q24" s="4"/>
      <c r="R24" s="12"/>
      <c r="S24" s="4"/>
      <c r="T24" s="9"/>
      <c r="U24" s="9"/>
      <c r="V24" s="4"/>
      <c r="W24" s="3" t="s">
        <v>100</v>
      </c>
      <c r="X24" s="4"/>
      <c r="Y24" s="9">
        <v>2024</v>
      </c>
    </row>
    <row r="25" spans="1:25" ht="39.75" hidden="1">
      <c r="A25" s="9">
        <f t="shared" si="1"/>
        <v>21</v>
      </c>
      <c r="B25" s="9">
        <v>2409</v>
      </c>
      <c r="C25" s="3" t="s">
        <v>171</v>
      </c>
      <c r="D25" s="4"/>
      <c r="E25" s="4" t="s">
        <v>102</v>
      </c>
      <c r="F25" s="4" t="s">
        <v>103</v>
      </c>
      <c r="G25" s="41" t="s">
        <v>144</v>
      </c>
      <c r="H25" s="4"/>
      <c r="I25" s="46" t="s">
        <v>26</v>
      </c>
      <c r="J25" s="9" t="s">
        <v>27</v>
      </c>
      <c r="K25" s="4"/>
      <c r="L25" s="4"/>
      <c r="M25" s="4"/>
      <c r="N25" s="4"/>
      <c r="O25" s="58" t="s">
        <v>166</v>
      </c>
      <c r="P25" s="3" t="s">
        <v>191</v>
      </c>
      <c r="Q25" s="3" t="s">
        <v>198</v>
      </c>
      <c r="R25" s="12">
        <v>45292</v>
      </c>
      <c r="S25" s="4"/>
      <c r="T25" s="9"/>
      <c r="U25" s="9"/>
      <c r="V25" s="4"/>
      <c r="W25" s="4"/>
      <c r="X25" s="46" t="s">
        <v>172</v>
      </c>
      <c r="Y25" s="9">
        <v>2024</v>
      </c>
    </row>
    <row r="26" spans="1:25" ht="38.25" hidden="1">
      <c r="A26" s="9">
        <f t="shared" si="1"/>
        <v>22</v>
      </c>
      <c r="B26" s="9"/>
      <c r="C26" s="4" t="s">
        <v>105</v>
      </c>
      <c r="D26" s="4"/>
      <c r="E26" s="4" t="s">
        <v>102</v>
      </c>
      <c r="F26" s="4" t="s">
        <v>106</v>
      </c>
      <c r="G26" s="4"/>
      <c r="H26" s="4"/>
      <c r="I26" s="4" t="s">
        <v>104</v>
      </c>
      <c r="J26" s="7" t="s">
        <v>78</v>
      </c>
      <c r="K26" s="4"/>
      <c r="L26" s="4"/>
      <c r="M26" s="4"/>
      <c r="N26" s="4"/>
      <c r="O26" s="4"/>
      <c r="P26" s="4"/>
      <c r="Q26" s="4"/>
      <c r="R26" s="12">
        <v>45292</v>
      </c>
      <c r="S26" s="12">
        <v>45352</v>
      </c>
      <c r="T26" s="9"/>
      <c r="U26" s="9"/>
      <c r="V26" s="4"/>
      <c r="W26" s="3" t="s">
        <v>107</v>
      </c>
      <c r="X26" s="4"/>
      <c r="Y26" s="9">
        <v>2024</v>
      </c>
    </row>
    <row r="27" spans="1:25" ht="40.5" hidden="1">
      <c r="A27" s="9">
        <f t="shared" si="1"/>
        <v>23</v>
      </c>
      <c r="B27" s="9"/>
      <c r="C27" s="42" t="s">
        <v>160</v>
      </c>
      <c r="D27" s="4"/>
      <c r="E27" s="17" t="s">
        <v>109</v>
      </c>
      <c r="F27" s="3" t="s">
        <v>110</v>
      </c>
      <c r="G27" s="17" t="s">
        <v>161</v>
      </c>
      <c r="H27" s="4"/>
      <c r="I27" s="4" t="s">
        <v>104</v>
      </c>
      <c r="J27" s="9" t="s">
        <v>27</v>
      </c>
      <c r="K27" s="4"/>
      <c r="L27" s="4"/>
      <c r="M27" s="4"/>
      <c r="N27" s="4"/>
      <c r="O27" s="58" t="s">
        <v>166</v>
      </c>
      <c r="P27" s="3" t="s">
        <v>191</v>
      </c>
      <c r="Q27" s="3"/>
      <c r="R27" s="12">
        <v>45292</v>
      </c>
      <c r="S27" s="4"/>
      <c r="T27" s="9"/>
      <c r="U27" s="9"/>
      <c r="V27" s="4"/>
      <c r="W27" s="4"/>
      <c r="X27" s="4"/>
      <c r="Y27" s="9">
        <v>2024</v>
      </c>
    </row>
    <row r="28" spans="1:25" ht="41.25" hidden="1">
      <c r="A28" s="9">
        <f t="shared" si="1"/>
        <v>24</v>
      </c>
      <c r="B28" s="9"/>
      <c r="C28" s="4" t="s">
        <v>111</v>
      </c>
      <c r="D28" s="4"/>
      <c r="E28" s="4" t="s">
        <v>102</v>
      </c>
      <c r="F28" s="3" t="s">
        <v>110</v>
      </c>
      <c r="G28" s="3" t="s">
        <v>159</v>
      </c>
      <c r="H28" s="4"/>
      <c r="I28" s="4" t="s">
        <v>104</v>
      </c>
      <c r="J28" s="7" t="s">
        <v>27</v>
      </c>
      <c r="K28" s="4"/>
      <c r="L28" s="4"/>
      <c r="M28" s="4"/>
      <c r="N28" s="4"/>
      <c r="O28" s="58" t="s">
        <v>166</v>
      </c>
      <c r="P28" s="3" t="s">
        <v>199</v>
      </c>
      <c r="Q28" s="3"/>
      <c r="R28" s="12">
        <v>45292</v>
      </c>
      <c r="S28" s="4"/>
      <c r="T28" s="9"/>
      <c r="U28" s="9"/>
      <c r="V28" s="4"/>
      <c r="W28" s="4"/>
      <c r="X28" s="4"/>
      <c r="Y28" s="9">
        <v>2024</v>
      </c>
    </row>
    <row r="29" spans="1:25" ht="38.25">
      <c r="A29" s="9">
        <f t="shared" si="1"/>
        <v>25</v>
      </c>
      <c r="B29" s="9"/>
      <c r="C29" s="4" t="s">
        <v>112</v>
      </c>
      <c r="D29" s="4" t="s">
        <v>113</v>
      </c>
      <c r="E29" s="4" t="s">
        <v>52</v>
      </c>
      <c r="F29" s="4" t="s">
        <v>53</v>
      </c>
      <c r="G29" s="4"/>
      <c r="H29" s="4"/>
      <c r="I29" s="40" t="s">
        <v>55</v>
      </c>
      <c r="J29" s="7" t="s">
        <v>27</v>
      </c>
      <c r="K29" s="4"/>
      <c r="L29" s="4"/>
      <c r="M29" s="4"/>
      <c r="N29" s="4" t="s">
        <v>114</v>
      </c>
      <c r="O29" s="57" t="s">
        <v>43</v>
      </c>
      <c r="P29" s="3" t="s">
        <v>192</v>
      </c>
      <c r="Q29" s="3"/>
      <c r="R29" s="12">
        <v>45292</v>
      </c>
      <c r="S29" s="4"/>
      <c r="T29" s="9"/>
      <c r="U29" s="9"/>
      <c r="V29" s="4"/>
      <c r="W29" s="4"/>
      <c r="X29" s="4" t="s">
        <v>115</v>
      </c>
      <c r="Y29" s="9">
        <v>2023</v>
      </c>
    </row>
    <row r="30" spans="1:25" ht="13.5" hidden="1">
      <c r="A30" s="62">
        <f t="shared" si="1"/>
        <v>26</v>
      </c>
      <c r="B30" s="9"/>
      <c r="C30" s="16" t="s">
        <v>116</v>
      </c>
      <c r="D30" s="4"/>
      <c r="E30" s="4"/>
      <c r="F30" s="4" t="s">
        <v>117</v>
      </c>
      <c r="G30" s="4"/>
      <c r="H30" s="4"/>
      <c r="I30" s="3" t="s">
        <v>196</v>
      </c>
      <c r="J30" s="7" t="s">
        <v>78</v>
      </c>
      <c r="K30" s="4"/>
      <c r="L30" s="4"/>
      <c r="M30" s="4"/>
      <c r="N30" s="4"/>
      <c r="O30" s="4"/>
      <c r="P30" s="4"/>
      <c r="Q30" s="4"/>
      <c r="R30" s="4"/>
      <c r="S30" s="4"/>
      <c r="T30" s="9"/>
      <c r="U30" s="9"/>
      <c r="V30" s="4"/>
      <c r="W30" s="4"/>
      <c r="X30" s="3" t="s">
        <v>79</v>
      </c>
      <c r="Y30" s="9"/>
    </row>
    <row r="31" spans="1:25" ht="25.5" hidden="1">
      <c r="A31" s="62">
        <f t="shared" si="1"/>
        <v>27</v>
      </c>
      <c r="B31" s="9"/>
      <c r="C31" s="16" t="s">
        <v>118</v>
      </c>
      <c r="D31" s="4"/>
      <c r="E31" s="4"/>
      <c r="F31" s="4" t="s">
        <v>119</v>
      </c>
      <c r="G31" s="4"/>
      <c r="H31" s="4"/>
      <c r="I31" s="3" t="s">
        <v>196</v>
      </c>
      <c r="J31" s="7" t="s">
        <v>78</v>
      </c>
      <c r="K31" s="4"/>
      <c r="L31" s="4"/>
      <c r="M31" s="4"/>
      <c r="N31" s="4"/>
      <c r="O31" s="4"/>
      <c r="P31" s="4"/>
      <c r="Q31" s="4"/>
      <c r="R31" s="4"/>
      <c r="S31" s="4"/>
      <c r="T31" s="9"/>
      <c r="U31" s="9"/>
      <c r="V31" s="4"/>
      <c r="W31" s="4"/>
      <c r="X31" s="3" t="s">
        <v>79</v>
      </c>
      <c r="Y31" s="9"/>
    </row>
    <row r="32" spans="1:25" ht="25.5" hidden="1">
      <c r="A32" s="62">
        <f t="shared" si="1"/>
        <v>28</v>
      </c>
      <c r="B32" s="9"/>
      <c r="C32" s="16" t="s">
        <v>120</v>
      </c>
      <c r="D32" s="4"/>
      <c r="E32" s="4"/>
      <c r="F32" s="4" t="s">
        <v>121</v>
      </c>
      <c r="G32" s="4"/>
      <c r="H32" s="4"/>
      <c r="I32" s="3" t="s">
        <v>196</v>
      </c>
      <c r="J32" s="7" t="s">
        <v>78</v>
      </c>
      <c r="K32" s="4"/>
      <c r="L32" s="4"/>
      <c r="M32" s="4"/>
      <c r="N32" s="4"/>
      <c r="O32" s="4"/>
      <c r="P32" s="4"/>
      <c r="Q32" s="4"/>
      <c r="R32" s="4"/>
      <c r="S32" s="4"/>
      <c r="T32" s="9"/>
      <c r="U32" s="9"/>
      <c r="V32" s="4"/>
      <c r="W32" s="4"/>
      <c r="X32" s="3" t="s">
        <v>79</v>
      </c>
      <c r="Y32" s="9"/>
    </row>
    <row r="33" spans="1:25" ht="38.25" hidden="1">
      <c r="A33" s="62">
        <f t="shared" si="1"/>
        <v>29</v>
      </c>
      <c r="B33" s="9"/>
      <c r="C33" s="16" t="s">
        <v>122</v>
      </c>
      <c r="D33" s="4"/>
      <c r="E33" s="4"/>
      <c r="F33" s="4"/>
      <c r="G33" s="4"/>
      <c r="H33" s="4"/>
      <c r="I33" s="45" t="s">
        <v>196</v>
      </c>
      <c r="J33" s="7" t="s">
        <v>78</v>
      </c>
      <c r="K33" s="4"/>
      <c r="L33" s="4"/>
      <c r="M33" s="4"/>
      <c r="N33" s="4"/>
      <c r="O33" s="4"/>
      <c r="P33" s="4"/>
      <c r="Q33" s="4"/>
      <c r="R33" s="4"/>
      <c r="S33" s="4"/>
      <c r="T33" s="9"/>
      <c r="U33" s="9"/>
      <c r="V33" s="4"/>
      <c r="W33" s="4"/>
      <c r="X33" s="3" t="s">
        <v>79</v>
      </c>
      <c r="Y33" s="9"/>
    </row>
    <row r="34" spans="1:25" ht="40.5" hidden="1">
      <c r="A34" s="9">
        <f t="shared" si="1"/>
        <v>30</v>
      </c>
      <c r="B34" s="7">
        <v>2405</v>
      </c>
      <c r="C34" s="41" t="s">
        <v>162</v>
      </c>
      <c r="D34" s="41"/>
      <c r="E34" s="41"/>
      <c r="F34" s="41" t="s">
        <v>163</v>
      </c>
      <c r="G34" s="41" t="s">
        <v>164</v>
      </c>
      <c r="H34" s="41" t="s">
        <v>165</v>
      </c>
      <c r="I34" s="41" t="s">
        <v>26</v>
      </c>
      <c r="J34" s="7" t="s">
        <v>78</v>
      </c>
      <c r="K34" s="41"/>
      <c r="L34" s="41"/>
      <c r="M34" s="41"/>
      <c r="N34" s="41"/>
      <c r="O34" s="58" t="s">
        <v>169</v>
      </c>
      <c r="P34" s="41" t="s">
        <v>133</v>
      </c>
      <c r="Q34" s="41"/>
      <c r="R34" s="12">
        <v>45352</v>
      </c>
      <c r="S34" s="12">
        <v>45413</v>
      </c>
      <c r="T34" s="41"/>
      <c r="U34" s="7"/>
      <c r="V34" s="3"/>
      <c r="W34" s="3"/>
      <c r="X34" s="3" t="s">
        <v>143</v>
      </c>
      <c r="Y34" s="7"/>
    </row>
    <row r="35" spans="1:25" ht="54" hidden="1">
      <c r="A35" s="9">
        <f t="shared" si="1"/>
        <v>31</v>
      </c>
      <c r="B35" s="7" t="s">
        <v>173</v>
      </c>
      <c r="C35" s="41" t="s">
        <v>174</v>
      </c>
      <c r="D35" s="41"/>
      <c r="E35" s="41"/>
      <c r="F35" s="42" t="s">
        <v>200</v>
      </c>
      <c r="G35" s="41" t="s">
        <v>176</v>
      </c>
      <c r="H35" s="41"/>
      <c r="I35" s="41" t="s">
        <v>26</v>
      </c>
      <c r="J35" s="54" t="s">
        <v>27</v>
      </c>
      <c r="K35" s="41"/>
      <c r="L35" s="41"/>
      <c r="M35" s="41"/>
      <c r="N35" s="41"/>
      <c r="O35" s="58" t="s">
        <v>169</v>
      </c>
      <c r="P35" s="3" t="s">
        <v>191</v>
      </c>
      <c r="Q35" s="41"/>
      <c r="R35" s="12">
        <v>45383</v>
      </c>
      <c r="S35" s="41"/>
      <c r="T35" s="41"/>
      <c r="U35" s="7"/>
      <c r="V35" s="3"/>
      <c r="W35" s="3"/>
      <c r="X35" s="3"/>
      <c r="Y35" s="7"/>
    </row>
    <row r="36" spans="1:25" ht="40.5" hidden="1">
      <c r="A36" s="9">
        <f t="shared" si="1"/>
        <v>32</v>
      </c>
      <c r="B36" s="7" t="s">
        <v>177</v>
      </c>
      <c r="C36" s="41" t="s">
        <v>178</v>
      </c>
      <c r="D36" s="3"/>
      <c r="E36" s="3"/>
      <c r="F36" s="41" t="s">
        <v>179</v>
      </c>
      <c r="G36" s="41" t="s">
        <v>180</v>
      </c>
      <c r="H36" s="4"/>
      <c r="I36" s="41" t="s">
        <v>26</v>
      </c>
      <c r="J36" s="54" t="s">
        <v>27</v>
      </c>
      <c r="K36" s="3"/>
      <c r="L36" s="3"/>
      <c r="M36" s="3"/>
      <c r="N36" s="3"/>
      <c r="O36" s="58" t="s">
        <v>166</v>
      </c>
      <c r="P36" s="3" t="s">
        <v>194</v>
      </c>
      <c r="Q36" s="3" t="s">
        <v>201</v>
      </c>
      <c r="R36" s="12">
        <v>45383</v>
      </c>
      <c r="S36" s="3"/>
      <c r="T36" s="7"/>
      <c r="U36" s="7"/>
      <c r="V36" s="3"/>
      <c r="W36" s="3"/>
      <c r="X36" s="3"/>
      <c r="Y36" s="7"/>
    </row>
    <row r="37" spans="1:25" ht="66" hidden="1">
      <c r="A37" s="9">
        <f t="shared" si="1"/>
        <v>33</v>
      </c>
      <c r="B37" s="7" t="s">
        <v>181</v>
      </c>
      <c r="C37" s="41" t="s">
        <v>182</v>
      </c>
      <c r="D37" s="3"/>
      <c r="E37" s="3"/>
      <c r="F37" s="41" t="s">
        <v>183</v>
      </c>
      <c r="G37" s="41" t="s">
        <v>184</v>
      </c>
      <c r="H37" s="4"/>
      <c r="I37" s="41" t="s">
        <v>26</v>
      </c>
      <c r="J37" s="54" t="s">
        <v>27</v>
      </c>
      <c r="K37" s="3"/>
      <c r="L37" s="3"/>
      <c r="M37" s="3"/>
      <c r="N37" s="3"/>
      <c r="O37" s="58" t="s">
        <v>166</v>
      </c>
      <c r="P37" s="3" t="s">
        <v>133</v>
      </c>
      <c r="Q37" s="4"/>
      <c r="R37" s="12">
        <v>45383</v>
      </c>
      <c r="S37" s="12">
        <v>45444</v>
      </c>
      <c r="T37" s="7"/>
      <c r="U37" s="7"/>
      <c r="V37" s="3"/>
      <c r="W37" s="3"/>
      <c r="X37" s="4" t="s">
        <v>147</v>
      </c>
      <c r="Y37" s="7"/>
    </row>
    <row r="38" spans="1:25" ht="53.25" hidden="1">
      <c r="A38" s="9">
        <f t="shared" si="1"/>
        <v>34</v>
      </c>
      <c r="B38" s="7" t="s">
        <v>185</v>
      </c>
      <c r="C38" s="66" t="s">
        <v>202</v>
      </c>
      <c r="D38" s="3"/>
      <c r="E38" s="3"/>
      <c r="F38" s="41" t="s">
        <v>175</v>
      </c>
      <c r="G38" s="41" t="s">
        <v>187</v>
      </c>
      <c r="H38" s="4"/>
      <c r="I38" s="41" t="s">
        <v>26</v>
      </c>
      <c r="J38" s="54" t="s">
        <v>27</v>
      </c>
      <c r="K38" s="3"/>
      <c r="L38" s="3"/>
      <c r="M38" s="3"/>
      <c r="N38" s="3"/>
      <c r="O38" s="58" t="s">
        <v>166</v>
      </c>
      <c r="P38" s="3" t="s">
        <v>194</v>
      </c>
      <c r="Q38" s="4"/>
      <c r="R38" s="12">
        <v>45383</v>
      </c>
      <c r="S38" s="3"/>
      <c r="T38" s="7"/>
      <c r="U38" s="7"/>
      <c r="V38" s="3"/>
      <c r="W38" s="3"/>
      <c r="X38" s="3"/>
      <c r="Y38" s="7"/>
    </row>
    <row r="39" spans="1:25" ht="28.5">
      <c r="A39" s="9">
        <f t="shared" si="1"/>
        <v>35</v>
      </c>
      <c r="B39" s="7"/>
      <c r="C39" s="4" t="s">
        <v>188</v>
      </c>
      <c r="D39" s="4"/>
      <c r="E39" s="4"/>
      <c r="F39" s="4" t="s">
        <v>189</v>
      </c>
      <c r="G39" s="4"/>
      <c r="H39" s="4"/>
      <c r="I39" s="4" t="s">
        <v>55</v>
      </c>
      <c r="J39" s="7" t="s">
        <v>27</v>
      </c>
      <c r="K39" s="3"/>
      <c r="L39" s="3"/>
      <c r="M39" s="3"/>
      <c r="N39" s="3"/>
      <c r="O39" s="58" t="s">
        <v>166</v>
      </c>
      <c r="P39" s="3" t="s">
        <v>199</v>
      </c>
      <c r="Q39" s="3"/>
      <c r="R39" s="12">
        <v>45413</v>
      </c>
      <c r="S39" s="3"/>
      <c r="T39" s="7"/>
      <c r="U39" s="7"/>
      <c r="V39" s="3"/>
      <c r="W39" s="3"/>
      <c r="X39" s="3"/>
      <c r="Y39" s="7"/>
    </row>
    <row r="40" spans="1:25" ht="25.5">
      <c r="A40" s="9">
        <f t="shared" si="1"/>
        <v>36</v>
      </c>
      <c r="B40" s="7"/>
      <c r="C40" s="4" t="s">
        <v>203</v>
      </c>
      <c r="D40" s="4"/>
      <c r="E40" s="4"/>
      <c r="F40" s="4" t="s">
        <v>204</v>
      </c>
      <c r="G40" s="3"/>
      <c r="H40" s="4"/>
      <c r="I40" s="4" t="s">
        <v>55</v>
      </c>
      <c r="J40" s="7" t="s">
        <v>27</v>
      </c>
      <c r="K40" s="3"/>
      <c r="L40" s="3"/>
      <c r="M40" s="3"/>
      <c r="N40" s="3"/>
      <c r="O40" s="58" t="s">
        <v>166</v>
      </c>
      <c r="P40" s="3" t="s">
        <v>191</v>
      </c>
      <c r="R40" s="12">
        <v>45413</v>
      </c>
      <c r="S40" s="3"/>
      <c r="T40" s="7"/>
      <c r="U40" s="7"/>
      <c r="V40" s="3"/>
      <c r="W40" s="3"/>
      <c r="X40" s="3"/>
      <c r="Y40" s="7"/>
    </row>
    <row r="41" spans="1:25" ht="39.75">
      <c r="A41" s="9">
        <f t="shared" si="1"/>
        <v>37</v>
      </c>
      <c r="B41" s="7"/>
      <c r="C41" s="3" t="s">
        <v>205</v>
      </c>
      <c r="D41" s="4"/>
      <c r="E41" s="4"/>
      <c r="F41" s="4" t="s">
        <v>59</v>
      </c>
      <c r="G41" s="3"/>
      <c r="H41" s="4"/>
      <c r="I41" s="4" t="s">
        <v>55</v>
      </c>
      <c r="J41" s="7" t="s">
        <v>27</v>
      </c>
      <c r="K41" s="3"/>
      <c r="L41" s="3"/>
      <c r="M41" s="3"/>
      <c r="N41" s="3"/>
      <c r="O41" s="58" t="s">
        <v>166</v>
      </c>
      <c r="P41" s="3" t="s">
        <v>191</v>
      </c>
      <c r="R41" s="12">
        <v>45444</v>
      </c>
      <c r="S41" s="3"/>
      <c r="T41" s="7"/>
      <c r="U41" s="7"/>
      <c r="V41" s="3"/>
      <c r="W41" s="3"/>
      <c r="X41" s="3"/>
      <c r="Y41" s="7"/>
    </row>
    <row r="42" spans="1:25" ht="40.5">
      <c r="A42" s="9">
        <f t="shared" si="1"/>
        <v>38</v>
      </c>
      <c r="B42" s="7"/>
      <c r="C42" s="41" t="s">
        <v>206</v>
      </c>
      <c r="D42" s="4"/>
      <c r="E42" s="4"/>
      <c r="F42" s="4" t="s">
        <v>207</v>
      </c>
      <c r="G42" s="3"/>
      <c r="H42" s="4"/>
      <c r="I42" s="4" t="s">
        <v>55</v>
      </c>
      <c r="J42" s="7" t="s">
        <v>27</v>
      </c>
      <c r="K42" s="3"/>
      <c r="L42" s="3"/>
      <c r="M42" s="3"/>
      <c r="N42" s="3"/>
      <c r="O42" s="58" t="s">
        <v>166</v>
      </c>
      <c r="P42" s="3" t="s">
        <v>197</v>
      </c>
      <c r="R42" s="12">
        <v>45444</v>
      </c>
      <c r="S42" s="3"/>
      <c r="T42" s="7"/>
      <c r="U42" s="7"/>
      <c r="V42" s="3"/>
      <c r="W42" s="3"/>
      <c r="X42" s="3"/>
      <c r="Y42" s="7"/>
    </row>
    <row r="43" spans="1:25" ht="174.75" hidden="1">
      <c r="A43" s="9">
        <f t="shared" si="1"/>
        <v>39</v>
      </c>
      <c r="B43" s="7"/>
      <c r="C43" s="3" t="s">
        <v>208</v>
      </c>
      <c r="D43" s="63"/>
      <c r="E43" s="3"/>
      <c r="F43" s="3" t="s">
        <v>209</v>
      </c>
      <c r="G43" s="45" t="s">
        <v>210</v>
      </c>
      <c r="H43" s="4"/>
      <c r="I43" s="3" t="s">
        <v>104</v>
      </c>
      <c r="J43" s="7" t="s">
        <v>27</v>
      </c>
      <c r="K43" s="3"/>
      <c r="L43" s="3"/>
      <c r="M43" s="3"/>
      <c r="N43" s="3"/>
      <c r="O43" s="58" t="s">
        <v>166</v>
      </c>
      <c r="P43" s="3" t="s">
        <v>199</v>
      </c>
      <c r="R43" s="12">
        <v>45445</v>
      </c>
      <c r="S43" s="3"/>
      <c r="T43" s="7"/>
      <c r="U43" s="7"/>
      <c r="V43" s="3"/>
      <c r="W43" s="3"/>
      <c r="X43" s="3"/>
      <c r="Y43" s="7"/>
    </row>
    <row r="44" spans="1:25" ht="39.75" hidden="1">
      <c r="A44" s="9">
        <f t="shared" si="1"/>
        <v>40</v>
      </c>
      <c r="B44" s="7"/>
      <c r="C44" s="41" t="s">
        <v>211</v>
      </c>
      <c r="D44" s="3"/>
      <c r="E44" s="3"/>
      <c r="F44" s="3"/>
      <c r="G44" s="3"/>
      <c r="H44" s="4"/>
      <c r="I44" s="46" t="s">
        <v>82</v>
      </c>
      <c r="J44" s="7" t="s">
        <v>27</v>
      </c>
      <c r="K44" s="3"/>
      <c r="L44" s="3"/>
      <c r="M44" s="3"/>
      <c r="N44" s="3"/>
      <c r="O44" s="58" t="s">
        <v>166</v>
      </c>
      <c r="P44" s="3" t="s">
        <v>194</v>
      </c>
      <c r="R44" s="12">
        <v>45446</v>
      </c>
      <c r="S44" s="3"/>
      <c r="T44" s="7"/>
      <c r="U44" s="7"/>
      <c r="V44" s="3"/>
      <c r="W44" s="3"/>
      <c r="X44" s="3"/>
      <c r="Y44" s="7"/>
    </row>
    <row r="45" spans="1:25" ht="39.75" hidden="1">
      <c r="A45" s="9">
        <f t="shared" si="1"/>
        <v>41</v>
      </c>
      <c r="B45" s="7"/>
      <c r="C45" s="41" t="s">
        <v>212</v>
      </c>
      <c r="D45" s="3"/>
      <c r="E45" s="3"/>
      <c r="F45" s="3"/>
      <c r="G45" s="3"/>
      <c r="H45" s="4"/>
      <c r="I45" s="46" t="s">
        <v>82</v>
      </c>
      <c r="J45" s="7" t="s">
        <v>27</v>
      </c>
      <c r="K45" s="3"/>
      <c r="L45" s="3"/>
      <c r="M45" s="3"/>
      <c r="N45" s="3"/>
      <c r="O45" s="58" t="s">
        <v>166</v>
      </c>
      <c r="P45" s="3" t="s">
        <v>197</v>
      </c>
      <c r="R45" s="12">
        <v>45444</v>
      </c>
      <c r="S45" s="3"/>
      <c r="T45" s="7"/>
      <c r="U45" s="7"/>
      <c r="V45" s="3"/>
      <c r="W45" s="3"/>
      <c r="X45" s="3"/>
      <c r="Y45" s="7"/>
    </row>
    <row r="47" spans="1:25">
      <c r="D47"/>
      <c r="F47" s="1"/>
      <c r="G47" s="1"/>
      <c r="H47" s="2"/>
      <c r="I47" s="2"/>
      <c r="J47" s="2"/>
      <c r="K47" s="56"/>
      <c r="L47" s="1"/>
      <c r="M47" s="1"/>
      <c r="N47" s="1"/>
      <c r="O47" s="1"/>
      <c r="R47" s="2"/>
      <c r="S47" s="2"/>
      <c r="T47" s="2"/>
      <c r="Y47" s="2"/>
    </row>
    <row r="48" spans="1:25">
      <c r="D48"/>
      <c r="F48" s="1"/>
      <c r="G48" s="1"/>
      <c r="H48" s="2"/>
      <c r="I48" s="2"/>
      <c r="J48" s="2"/>
      <c r="K48" s="56"/>
      <c r="L48" s="1"/>
      <c r="M48" s="1"/>
      <c r="N48" s="1"/>
      <c r="O48" s="1"/>
      <c r="R48" s="2"/>
      <c r="S48" s="2"/>
      <c r="T48" s="2"/>
      <c r="Y48" s="2"/>
    </row>
    <row r="54" spans="1:12">
      <c r="A54" s="64" t="s">
        <v>213</v>
      </c>
      <c r="B54" s="64" t="s">
        <v>214</v>
      </c>
      <c r="C54"/>
      <c r="D54"/>
      <c r="E54"/>
      <c r="F54"/>
      <c r="G54"/>
      <c r="I54"/>
      <c r="J54"/>
      <c r="K54"/>
      <c r="L54"/>
    </row>
    <row r="55" spans="1:12">
      <c r="A55" s="64" t="s">
        <v>215</v>
      </c>
      <c r="B55" t="s">
        <v>216</v>
      </c>
      <c r="C55" t="s">
        <v>217</v>
      </c>
      <c r="D55" t="s">
        <v>218</v>
      </c>
      <c r="E55" t="s">
        <v>219</v>
      </c>
      <c r="F55" t="s">
        <v>220</v>
      </c>
      <c r="G55" t="s">
        <v>221</v>
      </c>
      <c r="H55" t="s">
        <v>222</v>
      </c>
      <c r="I55"/>
      <c r="J55"/>
      <c r="K55"/>
      <c r="L55"/>
    </row>
    <row r="56" spans="1:12">
      <c r="A56" s="65" t="s">
        <v>223</v>
      </c>
      <c r="B56">
        <v>2</v>
      </c>
      <c r="C56"/>
      <c r="D56"/>
      <c r="E56">
        <v>1</v>
      </c>
      <c r="F56"/>
      <c r="G56"/>
      <c r="H56">
        <v>3</v>
      </c>
      <c r="I56"/>
      <c r="J56"/>
      <c r="K56"/>
      <c r="L56"/>
    </row>
    <row r="57" spans="1:12">
      <c r="A57" s="65" t="s">
        <v>224</v>
      </c>
      <c r="B57"/>
      <c r="C57"/>
      <c r="D57"/>
      <c r="E57"/>
      <c r="F57">
        <v>1</v>
      </c>
      <c r="G57"/>
      <c r="H57">
        <v>1</v>
      </c>
      <c r="I57"/>
      <c r="J57"/>
      <c r="K57"/>
      <c r="L57"/>
    </row>
    <row r="58" spans="1:12">
      <c r="A58" s="65" t="s">
        <v>225</v>
      </c>
      <c r="B58"/>
      <c r="C58">
        <v>3</v>
      </c>
      <c r="D58">
        <v>1</v>
      </c>
      <c r="E58"/>
      <c r="F58"/>
      <c r="G58">
        <v>3</v>
      </c>
      <c r="H58">
        <v>7</v>
      </c>
      <c r="I58"/>
      <c r="J58"/>
      <c r="K58"/>
      <c r="L58"/>
    </row>
    <row r="59" spans="1:12">
      <c r="A59" s="65" t="s">
        <v>226</v>
      </c>
      <c r="B59"/>
      <c r="C59"/>
      <c r="D59">
        <v>4</v>
      </c>
      <c r="E59">
        <v>5</v>
      </c>
      <c r="F59"/>
      <c r="G59">
        <v>1</v>
      </c>
      <c r="H59">
        <v>10</v>
      </c>
      <c r="I59"/>
      <c r="J59"/>
      <c r="K59"/>
      <c r="L59"/>
    </row>
    <row r="60" spans="1:12">
      <c r="A60" s="65" t="s">
        <v>227</v>
      </c>
      <c r="B60">
        <v>1</v>
      </c>
      <c r="C60">
        <v>1</v>
      </c>
      <c r="D60">
        <v>1</v>
      </c>
      <c r="E60">
        <v>4</v>
      </c>
      <c r="F60">
        <v>1</v>
      </c>
      <c r="G60">
        <v>1</v>
      </c>
      <c r="H60">
        <v>9</v>
      </c>
      <c r="I60"/>
      <c r="J60"/>
      <c r="K60"/>
      <c r="L60"/>
    </row>
    <row r="61" spans="1:12">
      <c r="A61" s="65" t="s">
        <v>228</v>
      </c>
      <c r="B61"/>
      <c r="C61"/>
      <c r="D61">
        <v>1</v>
      </c>
      <c r="E61"/>
      <c r="F61"/>
      <c r="G61"/>
      <c r="H61">
        <v>1</v>
      </c>
      <c r="I61"/>
      <c r="J61"/>
      <c r="K61"/>
      <c r="L61"/>
    </row>
    <row r="62" spans="1:12">
      <c r="A62" s="65" t="s">
        <v>222</v>
      </c>
      <c r="B62">
        <v>3</v>
      </c>
      <c r="C62">
        <v>4</v>
      </c>
      <c r="D62">
        <v>7</v>
      </c>
      <c r="E62">
        <v>10</v>
      </c>
      <c r="F62">
        <v>2</v>
      </c>
      <c r="G62">
        <v>5</v>
      </c>
      <c r="H62">
        <v>31</v>
      </c>
      <c r="I62"/>
      <c r="J62"/>
      <c r="K62"/>
      <c r="L62"/>
    </row>
    <row r="63" spans="1:12">
      <c r="A63"/>
      <c r="B63"/>
      <c r="C63"/>
      <c r="D63"/>
      <c r="E63"/>
      <c r="F63"/>
      <c r="G63"/>
      <c r="I63"/>
      <c r="J63"/>
      <c r="K63"/>
      <c r="L63"/>
    </row>
    <row r="64" spans="1:12">
      <c r="A64"/>
      <c r="B64"/>
      <c r="C64"/>
      <c r="D64"/>
      <c r="E64"/>
      <c r="F64"/>
      <c r="G64"/>
      <c r="I64"/>
      <c r="J64"/>
      <c r="K64"/>
      <c r="L64"/>
    </row>
    <row r="65" spans="1:3">
      <c r="A65"/>
      <c r="B65"/>
      <c r="C65"/>
    </row>
    <row r="66" spans="1:3">
      <c r="A66"/>
      <c r="B66"/>
      <c r="C66"/>
    </row>
    <row r="67" spans="1:3">
      <c r="A67"/>
      <c r="B67"/>
      <c r="C67"/>
    </row>
    <row r="68" spans="1:3">
      <c r="A68"/>
      <c r="B68"/>
      <c r="C68"/>
    </row>
    <row r="69" spans="1:3">
      <c r="A69"/>
      <c r="B69"/>
      <c r="C69"/>
    </row>
    <row r="70" spans="1:3">
      <c r="A70"/>
      <c r="B70"/>
      <c r="C70"/>
    </row>
    <row r="71" spans="1:3">
      <c r="A71"/>
      <c r="B71"/>
      <c r="C71"/>
    </row>
  </sheetData>
  <sortState xmlns:xlrd2="http://schemas.microsoft.com/office/spreadsheetml/2017/richdata2" columnSort="1" ref="A54:H62">
    <sortCondition ref="B55"/>
  </sortState>
  <phoneticPr fontId="11" type="noConversion"/>
  <conditionalFormatting sqref="K21:L21 N30:S33">
    <cfRule type="cellIs" dxfId="78" priority="19" operator="equal">
      <formula>"已上線"</formula>
    </cfRule>
    <cfRule type="cellIs" dxfId="77" priority="20" operator="equal">
      <formula>"暫緩"</formula>
    </cfRule>
  </conditionalFormatting>
  <conditionalFormatting sqref="P35:P36 P40:P41">
    <cfRule type="cellIs" dxfId="76" priority="1" operator="equal">
      <formula>"已上線"</formula>
    </cfRule>
    <cfRule type="cellIs" dxfId="75" priority="2" operator="equal">
      <formula>"暫緩"</formula>
    </cfRule>
  </conditionalFormatting>
  <conditionalFormatting sqref="P38">
    <cfRule type="cellIs" dxfId="74" priority="5" operator="equal">
      <formula>"已上線"</formula>
    </cfRule>
    <cfRule type="cellIs" dxfId="73" priority="6" operator="equal">
      <formula>"暫緩"</formula>
    </cfRule>
  </conditionalFormatting>
  <conditionalFormatting sqref="P34:Q34">
    <cfRule type="cellIs" dxfId="72" priority="17" operator="equal">
      <formula>"已上線"</formula>
    </cfRule>
    <cfRule type="cellIs" dxfId="71" priority="18" operator="equal">
      <formula>"暫緩"</formula>
    </cfRule>
  </conditionalFormatting>
  <conditionalFormatting sqref="P37:Q37 Q38">
    <cfRule type="cellIs" dxfId="70" priority="15" operator="equal">
      <formula>"已上線"</formula>
    </cfRule>
    <cfRule type="cellIs" dxfId="69" priority="16" operator="equal">
      <formula>"暫緩"</formula>
    </cfRule>
  </conditionalFormatting>
  <conditionalFormatting sqref="S2 N2:N3 P2:Q3 N4:Q4 S5:S12 N5:N14 P5:Q14 S14:S17 N15:Q15 N16 P16:Q16 N17:Q17 N18:N20 P18:Q20 S19:S20 N22:N23 S22:S25 P23:Q23 N24:Q24 N25 P25:Q25 N26:Q26 P27:Q27 N27:N29 S27:S29 Q28 P29:Q29">
    <cfRule type="cellIs" dxfId="68" priority="21" operator="equal">
      <formula>"已上線"</formula>
    </cfRule>
    <cfRule type="cellIs" dxfId="67" priority="22" operator="equal">
      <formula>"暫緩"</formula>
    </cfRule>
  </conditionalFormatting>
  <conditionalFormatting sqref="X37">
    <cfRule type="cellIs" dxfId="66" priority="13" operator="equal">
      <formula>"已上線"</formula>
    </cfRule>
    <cfRule type="cellIs" dxfId="65" priority="14" operator="equal">
      <formula>"暫緩"</formula>
    </cfRule>
  </conditionalFormatting>
  <dataValidations count="4">
    <dataValidation type="list" allowBlank="1" showErrorMessage="1" sqref="N7 N13:N16 N22 N26 N33 N2 K21" xr:uid="{00000000-0002-0000-0300-000000000000}">
      <formula1>"評估中,規劃中,實作中,測試中,已上線,暫緩"</formula1>
    </dataValidation>
    <dataValidation type="list" allowBlank="1" showErrorMessage="1" sqref="L2:L6" xr:uid="{00000000-0002-0000-0300-000001000000}">
      <formula1>"Cloud Migration,Cloud Native,TBD"</formula1>
    </dataValidation>
    <dataValidation type="list" allowBlank="1" showErrorMessage="1" sqref="K2:K6" xr:uid="{00000000-0002-0000-0300-000002000000}">
      <formula1>"行銷/通路,應用/服務,產品/核心,數據/分析,TBD"</formula1>
    </dataValidation>
    <dataValidation type="list" allowBlank="1" showErrorMessage="1" sqref="N3:N6 N8:N12 N23:N25 N17:N20 N27:N32" xr:uid="{00000000-0002-0000-0300-000003000000}">
      <formula1>"評估中,規劃中,實作中,測試中,已上線"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8DFE-FAF9-47D2-9798-CB0C991B681B}">
  <sheetPr codeName="工作表5">
    <tabColor rgb="FFFFFF00"/>
  </sheetPr>
  <dimension ref="A1:AD270"/>
  <sheetViews>
    <sheetView tabSelected="1" zoomScaleNormal="100" workbookViewId="0">
      <pane ySplit="3" topLeftCell="A170" activePane="bottomLeft" state="frozen"/>
      <selection pane="bottomLeft" activeCell="B171" sqref="B171"/>
    </sheetView>
  </sheetViews>
  <sheetFormatPr defaultColWidth="9.140625" defaultRowHeight="15.75" customHeight="1"/>
  <cols>
    <col min="1" max="1" width="15.5703125" style="133" bestFit="1" customWidth="1"/>
    <col min="2" max="2" width="15.5703125" style="133" customWidth="1"/>
    <col min="3" max="3" width="26.7109375" style="133" bestFit="1" customWidth="1"/>
    <col min="4" max="4" width="26.7109375" style="133" customWidth="1"/>
    <col min="5" max="5" width="25.5703125" style="134" customWidth="1"/>
    <col min="6" max="6" width="42.140625" style="133" customWidth="1"/>
    <col min="7" max="7" width="20.7109375" style="133" customWidth="1"/>
    <col min="8" max="8" width="8.85546875" style="133" customWidth="1"/>
    <col min="9" max="9" width="18.85546875" style="133" customWidth="1"/>
    <col min="10" max="13" width="18.85546875" style="175" customWidth="1"/>
    <col min="14" max="14" width="21.5703125" style="199" customWidth="1"/>
    <col min="15" max="15" width="19" style="199" customWidth="1"/>
    <col min="16" max="16" width="25" style="167" customWidth="1"/>
    <col min="17" max="17" width="59.28515625" style="133" customWidth="1"/>
    <col min="18" max="20" width="40.42578125" style="134" customWidth="1"/>
    <col min="21" max="22" width="12.5703125" style="133" customWidth="1"/>
    <col min="23" max="23" width="28.85546875" style="153" customWidth="1"/>
    <col min="24" max="26" width="9.140625" style="133"/>
    <col min="27" max="27" width="22.140625" style="133" customWidth="1"/>
    <col min="28" max="28" width="41.5703125" style="133" customWidth="1"/>
    <col min="29" max="29" width="22.140625" style="133" bestFit="1" customWidth="1"/>
    <col min="30" max="16384" width="9.140625" style="133"/>
  </cols>
  <sheetData>
    <row r="1" spans="1:23" s="144" customFormat="1" ht="16.5" customHeight="1">
      <c r="A1" s="244" t="s">
        <v>229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W1" s="244"/>
    </row>
    <row r="2" spans="1:23" s="144" customFormat="1" ht="16.5">
      <c r="A2" s="140" t="s">
        <v>230</v>
      </c>
      <c r="B2" s="140"/>
      <c r="C2" s="141"/>
      <c r="D2" s="141"/>
      <c r="E2" s="141"/>
      <c r="F2" s="141"/>
      <c r="G2" s="141"/>
      <c r="H2" s="141"/>
      <c r="I2" s="141"/>
      <c r="J2" s="182"/>
      <c r="K2" s="182"/>
      <c r="L2" s="182"/>
      <c r="M2" s="182"/>
      <c r="N2" s="188"/>
      <c r="O2" s="188"/>
      <c r="P2" s="151"/>
      <c r="Q2" s="141"/>
      <c r="R2" s="141"/>
      <c r="S2" s="141"/>
      <c r="T2" s="141"/>
      <c r="W2" s="151"/>
    </row>
    <row r="3" spans="1:23" s="144" customFormat="1" ht="50.25">
      <c r="A3" s="132" t="s">
        <v>231</v>
      </c>
      <c r="B3" s="132" t="s">
        <v>232</v>
      </c>
      <c r="C3" s="132" t="s">
        <v>233</v>
      </c>
      <c r="D3" s="132" t="s">
        <v>234</v>
      </c>
      <c r="E3" s="132" t="s">
        <v>235</v>
      </c>
      <c r="F3" s="132" t="s">
        <v>236</v>
      </c>
      <c r="G3" s="132" t="s">
        <v>237</v>
      </c>
      <c r="H3" s="132" t="s">
        <v>238</v>
      </c>
      <c r="I3" s="132" t="s">
        <v>239</v>
      </c>
      <c r="J3" s="132" t="s">
        <v>240</v>
      </c>
      <c r="K3" s="132" t="s">
        <v>241</v>
      </c>
      <c r="L3" s="132" t="s">
        <v>242</v>
      </c>
      <c r="M3" s="245" t="s">
        <v>243</v>
      </c>
      <c r="N3" s="189" t="s">
        <v>244</v>
      </c>
      <c r="O3" s="213" t="s">
        <v>245</v>
      </c>
      <c r="P3" s="152" t="s">
        <v>246</v>
      </c>
      <c r="Q3" s="214" t="s">
        <v>247</v>
      </c>
      <c r="R3" s="215" t="s">
        <v>248</v>
      </c>
      <c r="S3" s="215" t="s">
        <v>249</v>
      </c>
      <c r="T3" s="215" t="s">
        <v>250</v>
      </c>
      <c r="U3" s="152" t="s">
        <v>251</v>
      </c>
      <c r="V3" s="152" t="s">
        <v>252</v>
      </c>
      <c r="W3" s="152" t="s">
        <v>253</v>
      </c>
    </row>
    <row r="4" spans="1:23" ht="15.75" customHeight="1">
      <c r="A4" s="133" t="s">
        <v>254</v>
      </c>
      <c r="B4" s="175"/>
      <c r="F4" s="133" t="s">
        <v>255</v>
      </c>
      <c r="M4" s="175" t="s">
        <v>256</v>
      </c>
      <c r="T4" s="134">
        <v>0</v>
      </c>
      <c r="U4" s="133" t="s">
        <v>257</v>
      </c>
      <c r="V4" s="133" t="s">
        <v>258</v>
      </c>
    </row>
    <row r="5" spans="1:23" ht="15.75" customHeight="1">
      <c r="A5" s="133" t="s">
        <v>254</v>
      </c>
      <c r="B5" s="175"/>
      <c r="F5" s="133" t="s">
        <v>259</v>
      </c>
      <c r="M5" s="175" t="s">
        <v>256</v>
      </c>
      <c r="T5" s="134">
        <v>0</v>
      </c>
      <c r="U5" s="133" t="s">
        <v>257</v>
      </c>
      <c r="V5" s="133" t="s">
        <v>258</v>
      </c>
    </row>
    <row r="6" spans="1:23" ht="15.75" customHeight="1">
      <c r="A6" s="133" t="s">
        <v>254</v>
      </c>
      <c r="B6" s="175"/>
      <c r="F6" s="133" t="s">
        <v>260</v>
      </c>
      <c r="M6" s="175" t="s">
        <v>256</v>
      </c>
      <c r="T6" s="134">
        <v>0</v>
      </c>
      <c r="U6" s="133" t="s">
        <v>257</v>
      </c>
      <c r="V6" s="133" t="s">
        <v>258</v>
      </c>
    </row>
    <row r="7" spans="1:23" ht="15.75" customHeight="1">
      <c r="A7" s="133" t="s">
        <v>261</v>
      </c>
      <c r="B7" s="175"/>
      <c r="F7" s="133" t="s">
        <v>262</v>
      </c>
      <c r="M7" s="175" t="s">
        <v>256</v>
      </c>
      <c r="T7" s="134">
        <v>0</v>
      </c>
      <c r="U7" s="133" t="s">
        <v>257</v>
      </c>
      <c r="V7" s="133" t="s">
        <v>258</v>
      </c>
    </row>
    <row r="8" spans="1:23" ht="15.75" customHeight="1">
      <c r="A8" s="133" t="s">
        <v>261</v>
      </c>
      <c r="B8" s="175"/>
      <c r="F8" s="133" t="s">
        <v>263</v>
      </c>
      <c r="M8" s="175" t="s">
        <v>256</v>
      </c>
      <c r="T8" s="134">
        <v>0</v>
      </c>
      <c r="U8" s="133" t="s">
        <v>257</v>
      </c>
      <c r="V8" s="133" t="s">
        <v>258</v>
      </c>
    </row>
    <row r="9" spans="1:23" ht="15.75" customHeight="1">
      <c r="A9" s="133" t="s">
        <v>254</v>
      </c>
      <c r="B9" s="175"/>
      <c r="F9" s="133" t="s">
        <v>264</v>
      </c>
      <c r="M9" s="175" t="s">
        <v>256</v>
      </c>
      <c r="N9" s="145">
        <f>O9*12</f>
        <v>1800</v>
      </c>
      <c r="O9" s="190">
        <v>150</v>
      </c>
      <c r="T9" s="134">
        <v>0</v>
      </c>
      <c r="U9" s="133" t="s">
        <v>265</v>
      </c>
      <c r="V9" s="133" t="s">
        <v>266</v>
      </c>
    </row>
    <row r="10" spans="1:23" ht="15.75" customHeight="1">
      <c r="A10" s="133" t="s">
        <v>254</v>
      </c>
      <c r="B10" s="175"/>
      <c r="F10" s="133" t="s">
        <v>267</v>
      </c>
      <c r="M10" s="175" t="s">
        <v>256</v>
      </c>
      <c r="N10" s="145">
        <f>O10*12</f>
        <v>1800</v>
      </c>
      <c r="O10" s="190">
        <v>150</v>
      </c>
      <c r="T10" s="134">
        <v>0</v>
      </c>
      <c r="U10" s="133" t="s">
        <v>265</v>
      </c>
      <c r="V10" s="133" t="s">
        <v>266</v>
      </c>
    </row>
    <row r="11" spans="1:23" ht="15.75" customHeight="1">
      <c r="A11" s="133" t="s">
        <v>261</v>
      </c>
      <c r="B11" s="175"/>
      <c r="F11" s="133" t="s">
        <v>268</v>
      </c>
      <c r="M11" s="175" t="s">
        <v>256</v>
      </c>
      <c r="N11" s="145">
        <f>O11*12</f>
        <v>6000</v>
      </c>
      <c r="O11" s="190">
        <v>500</v>
      </c>
      <c r="T11" s="134">
        <v>0</v>
      </c>
      <c r="U11" s="133" t="s">
        <v>265</v>
      </c>
      <c r="V11" s="133" t="s">
        <v>266</v>
      </c>
    </row>
    <row r="12" spans="1:23" ht="15.75" customHeight="1">
      <c r="A12" s="133" t="s">
        <v>261</v>
      </c>
      <c r="B12" s="175"/>
      <c r="F12" s="133" t="s">
        <v>269</v>
      </c>
      <c r="M12" s="175" t="s">
        <v>256</v>
      </c>
      <c r="N12" s="145">
        <f>O12*12</f>
        <v>1200</v>
      </c>
      <c r="O12" s="145">
        <v>100</v>
      </c>
      <c r="T12" s="134">
        <v>0</v>
      </c>
      <c r="U12" s="133" t="s">
        <v>257</v>
      </c>
      <c r="V12" s="133" t="s">
        <v>266</v>
      </c>
    </row>
    <row r="13" spans="1:23" ht="15.75" customHeight="1">
      <c r="A13" s="133" t="s">
        <v>254</v>
      </c>
      <c r="B13" s="175"/>
      <c r="F13" s="133" t="s">
        <v>270</v>
      </c>
      <c r="M13" s="175" t="s">
        <v>256</v>
      </c>
      <c r="N13" s="145">
        <f t="shared" ref="N13:N45" si="0">O13*12</f>
        <v>1800</v>
      </c>
      <c r="O13" s="145">
        <v>150</v>
      </c>
      <c r="T13" s="134">
        <v>0</v>
      </c>
      <c r="U13" s="133" t="s">
        <v>265</v>
      </c>
      <c r="V13" s="133" t="s">
        <v>266</v>
      </c>
    </row>
    <row r="14" spans="1:23" ht="15.75" customHeight="1">
      <c r="A14" s="133" t="s">
        <v>254</v>
      </c>
      <c r="B14" s="175"/>
      <c r="F14" s="133" t="s">
        <v>271</v>
      </c>
      <c r="M14" s="175" t="s">
        <v>256</v>
      </c>
      <c r="N14" s="145">
        <f t="shared" si="0"/>
        <v>1800</v>
      </c>
      <c r="O14" s="145">
        <v>150</v>
      </c>
      <c r="T14" s="134">
        <v>0</v>
      </c>
      <c r="U14" s="133" t="s">
        <v>265</v>
      </c>
      <c r="V14" s="133" t="s">
        <v>266</v>
      </c>
    </row>
    <row r="15" spans="1:23" ht="15.75" customHeight="1">
      <c r="A15" s="133" t="s">
        <v>254</v>
      </c>
      <c r="B15" s="175"/>
      <c r="F15" s="133" t="s">
        <v>272</v>
      </c>
      <c r="M15" s="175" t="s">
        <v>256</v>
      </c>
      <c r="N15" s="145"/>
      <c r="O15" s="145"/>
      <c r="T15" s="134">
        <v>0</v>
      </c>
      <c r="U15" s="133" t="s">
        <v>257</v>
      </c>
      <c r="V15" s="133" t="s">
        <v>258</v>
      </c>
    </row>
    <row r="16" spans="1:23" ht="15.75" customHeight="1">
      <c r="A16" s="133" t="s">
        <v>254</v>
      </c>
      <c r="B16" s="175"/>
      <c r="F16" s="133" t="s">
        <v>273</v>
      </c>
      <c r="M16" s="175" t="s">
        <v>256</v>
      </c>
      <c r="N16" s="145"/>
      <c r="O16" s="145"/>
      <c r="T16" s="134">
        <v>0</v>
      </c>
      <c r="U16" s="133" t="s">
        <v>257</v>
      </c>
      <c r="V16" s="133" t="s">
        <v>258</v>
      </c>
    </row>
    <row r="17" spans="1:22" ht="15.75" customHeight="1">
      <c r="A17" s="133" t="s">
        <v>254</v>
      </c>
      <c r="B17" s="175"/>
      <c r="F17" s="133" t="s">
        <v>274</v>
      </c>
      <c r="M17" s="175" t="s">
        <v>256</v>
      </c>
      <c r="N17" s="145"/>
      <c r="O17" s="145"/>
      <c r="T17" s="134">
        <v>0</v>
      </c>
      <c r="U17" s="133" t="s">
        <v>257</v>
      </c>
      <c r="V17" s="133" t="s">
        <v>258</v>
      </c>
    </row>
    <row r="18" spans="1:22" ht="15.75" customHeight="1">
      <c r="A18" s="133" t="s">
        <v>254</v>
      </c>
      <c r="B18" s="175"/>
      <c r="F18" s="133" t="s">
        <v>275</v>
      </c>
      <c r="M18" s="175" t="s">
        <v>256</v>
      </c>
      <c r="N18" s="145">
        <f t="shared" si="0"/>
        <v>1800</v>
      </c>
      <c r="O18" s="145">
        <v>150</v>
      </c>
      <c r="T18" s="134">
        <v>0</v>
      </c>
      <c r="U18" s="133" t="s">
        <v>265</v>
      </c>
      <c r="V18" s="133" t="s">
        <v>266</v>
      </c>
    </row>
    <row r="19" spans="1:22" ht="15.75" customHeight="1">
      <c r="A19" s="133" t="s">
        <v>261</v>
      </c>
      <c r="B19" s="175"/>
      <c r="F19" s="133" t="s">
        <v>276</v>
      </c>
      <c r="M19" s="175" t="s">
        <v>256</v>
      </c>
      <c r="N19" s="145">
        <f t="shared" si="0"/>
        <v>1800</v>
      </c>
      <c r="O19" s="145">
        <v>150</v>
      </c>
      <c r="T19" s="134">
        <v>0</v>
      </c>
      <c r="U19" s="133" t="s">
        <v>265</v>
      </c>
      <c r="V19" s="133" t="s">
        <v>266</v>
      </c>
    </row>
    <row r="20" spans="1:22" ht="15.75" customHeight="1">
      <c r="A20" s="133" t="s">
        <v>261</v>
      </c>
      <c r="B20" s="175"/>
      <c r="F20" s="133" t="s">
        <v>277</v>
      </c>
      <c r="M20" s="175" t="s">
        <v>256</v>
      </c>
      <c r="N20" s="145"/>
      <c r="O20" s="145"/>
      <c r="T20" s="134">
        <v>0</v>
      </c>
      <c r="U20" s="133" t="s">
        <v>257</v>
      </c>
      <c r="V20" s="133" t="s">
        <v>258</v>
      </c>
    </row>
    <row r="21" spans="1:22" ht="15.75" customHeight="1">
      <c r="A21" s="133" t="s">
        <v>261</v>
      </c>
      <c r="B21" s="175"/>
      <c r="F21" s="133" t="s">
        <v>278</v>
      </c>
      <c r="M21" s="175" t="s">
        <v>256</v>
      </c>
      <c r="N21" s="145">
        <f t="shared" si="0"/>
        <v>1800</v>
      </c>
      <c r="O21" s="145">
        <v>150</v>
      </c>
      <c r="T21" s="134">
        <v>0</v>
      </c>
      <c r="U21" s="133" t="s">
        <v>265</v>
      </c>
      <c r="V21" s="133" t="s">
        <v>266</v>
      </c>
    </row>
    <row r="22" spans="1:22" ht="15.75" customHeight="1">
      <c r="A22" s="133" t="s">
        <v>261</v>
      </c>
      <c r="B22" s="175"/>
      <c r="F22" s="133" t="s">
        <v>279</v>
      </c>
      <c r="M22" s="175" t="s">
        <v>256</v>
      </c>
      <c r="N22" s="145"/>
      <c r="O22" s="145"/>
      <c r="T22" s="134">
        <v>0</v>
      </c>
      <c r="U22" s="133" t="s">
        <v>257</v>
      </c>
      <c r="V22" s="133" t="s">
        <v>258</v>
      </c>
    </row>
    <row r="23" spans="1:22" ht="15.75" customHeight="1">
      <c r="A23" s="133" t="s">
        <v>261</v>
      </c>
      <c r="B23" s="175"/>
      <c r="F23" s="133" t="s">
        <v>280</v>
      </c>
      <c r="M23" s="175" t="s">
        <v>256</v>
      </c>
      <c r="N23" s="145">
        <f t="shared" si="0"/>
        <v>240</v>
      </c>
      <c r="O23" s="145">
        <v>20</v>
      </c>
      <c r="T23" s="134">
        <v>0</v>
      </c>
      <c r="U23" s="133" t="s">
        <v>265</v>
      </c>
      <c r="V23" s="133" t="s">
        <v>266</v>
      </c>
    </row>
    <row r="24" spans="1:22" ht="15.75" customHeight="1">
      <c r="A24" s="133" t="s">
        <v>254</v>
      </c>
      <c r="B24" s="175"/>
      <c r="F24" t="s">
        <v>281</v>
      </c>
      <c r="M24" s="175" t="s">
        <v>256</v>
      </c>
      <c r="N24" s="145"/>
      <c r="O24" s="145"/>
      <c r="T24" s="134">
        <v>0</v>
      </c>
      <c r="U24" s="133" t="s">
        <v>257</v>
      </c>
      <c r="V24" s="133" t="s">
        <v>258</v>
      </c>
    </row>
    <row r="25" spans="1:22" ht="15.75" customHeight="1">
      <c r="A25" s="133" t="s">
        <v>254</v>
      </c>
      <c r="B25" s="175"/>
      <c r="F25" s="133" t="s">
        <v>282</v>
      </c>
      <c r="M25" s="175" t="s">
        <v>256</v>
      </c>
      <c r="N25" s="145"/>
      <c r="O25" s="145"/>
      <c r="T25" s="134">
        <v>0</v>
      </c>
      <c r="U25" s="133" t="s">
        <v>257</v>
      </c>
      <c r="V25" s="133" t="s">
        <v>258</v>
      </c>
    </row>
    <row r="26" spans="1:22" ht="15.75" customHeight="1">
      <c r="A26" s="133" t="s">
        <v>261</v>
      </c>
      <c r="B26" s="175"/>
      <c r="F26" s="133" t="s">
        <v>283</v>
      </c>
      <c r="M26" s="175" t="s">
        <v>256</v>
      </c>
      <c r="N26" s="145"/>
      <c r="O26" s="145"/>
      <c r="T26" s="134">
        <v>0</v>
      </c>
      <c r="U26" s="133" t="s">
        <v>257</v>
      </c>
      <c r="V26" s="133" t="s">
        <v>258</v>
      </c>
    </row>
    <row r="27" spans="1:22" ht="15.75" customHeight="1">
      <c r="A27" s="133" t="s">
        <v>261</v>
      </c>
      <c r="B27" s="175"/>
      <c r="F27" s="133" t="s">
        <v>284</v>
      </c>
      <c r="M27" s="175" t="s">
        <v>256</v>
      </c>
      <c r="N27" s="145"/>
      <c r="O27" s="145"/>
      <c r="T27" s="134">
        <v>0</v>
      </c>
      <c r="U27" s="133" t="s">
        <v>257</v>
      </c>
      <c r="V27" s="133" t="s">
        <v>258</v>
      </c>
    </row>
    <row r="28" spans="1:22" ht="15.75" customHeight="1">
      <c r="A28" s="133" t="s">
        <v>261</v>
      </c>
      <c r="B28" s="175"/>
      <c r="F28" s="133" t="s">
        <v>285</v>
      </c>
      <c r="M28" s="175" t="s">
        <v>256</v>
      </c>
      <c r="N28" s="145"/>
      <c r="O28" s="145"/>
      <c r="T28" s="134">
        <v>0</v>
      </c>
      <c r="U28" s="133" t="s">
        <v>257</v>
      </c>
      <c r="V28" s="133" t="s">
        <v>258</v>
      </c>
    </row>
    <row r="29" spans="1:22" ht="15.75" customHeight="1">
      <c r="A29" s="133" t="s">
        <v>254</v>
      </c>
      <c r="B29" s="175"/>
      <c r="F29" s="133" t="s">
        <v>286</v>
      </c>
      <c r="M29" s="175" t="s">
        <v>256</v>
      </c>
      <c r="N29" s="145"/>
      <c r="O29" s="145"/>
      <c r="T29" s="134">
        <v>0</v>
      </c>
      <c r="U29" s="133" t="s">
        <v>257</v>
      </c>
      <c r="V29" s="133" t="s">
        <v>258</v>
      </c>
    </row>
    <row r="30" spans="1:22" ht="15.75" customHeight="1">
      <c r="A30" s="133" t="s">
        <v>261</v>
      </c>
      <c r="B30" s="175"/>
      <c r="F30" s="133" t="s">
        <v>287</v>
      </c>
      <c r="M30" s="175" t="s">
        <v>256</v>
      </c>
      <c r="N30" s="145">
        <f t="shared" si="0"/>
        <v>600</v>
      </c>
      <c r="O30" s="145">
        <v>50</v>
      </c>
      <c r="T30" s="134">
        <v>0</v>
      </c>
      <c r="U30" s="133" t="s">
        <v>257</v>
      </c>
      <c r="V30" s="133" t="s">
        <v>266</v>
      </c>
    </row>
    <row r="31" spans="1:22" ht="15.75" customHeight="1">
      <c r="A31" s="133" t="s">
        <v>261</v>
      </c>
      <c r="B31" s="175"/>
      <c r="F31" s="133" t="s">
        <v>288</v>
      </c>
      <c r="M31" s="175" t="s">
        <v>256</v>
      </c>
      <c r="N31" s="145">
        <f t="shared" si="0"/>
        <v>6000</v>
      </c>
      <c r="O31" s="145">
        <v>500</v>
      </c>
      <c r="T31" s="134">
        <v>0</v>
      </c>
      <c r="U31" s="133" t="s">
        <v>265</v>
      </c>
      <c r="V31" s="133" t="s">
        <v>266</v>
      </c>
    </row>
    <row r="32" spans="1:22" ht="15.75" customHeight="1">
      <c r="A32" s="133" t="s">
        <v>261</v>
      </c>
      <c r="B32" s="175"/>
      <c r="F32" s="133" t="s">
        <v>289</v>
      </c>
      <c r="M32" s="175" t="s">
        <v>256</v>
      </c>
      <c r="N32" s="145">
        <f t="shared" si="0"/>
        <v>12000</v>
      </c>
      <c r="O32" s="145">
        <v>1000</v>
      </c>
      <c r="T32" s="134">
        <v>0</v>
      </c>
      <c r="U32" s="133" t="s">
        <v>265</v>
      </c>
      <c r="V32" s="133" t="s">
        <v>266</v>
      </c>
    </row>
    <row r="33" spans="1:22" ht="15.75" customHeight="1">
      <c r="A33" s="133" t="s">
        <v>261</v>
      </c>
      <c r="B33" s="175"/>
      <c r="F33" s="133" t="s">
        <v>290</v>
      </c>
      <c r="M33" s="175" t="s">
        <v>256</v>
      </c>
      <c r="N33" s="145">
        <f t="shared" si="0"/>
        <v>6000</v>
      </c>
      <c r="O33" s="145">
        <v>500</v>
      </c>
      <c r="T33" s="134">
        <v>0</v>
      </c>
      <c r="U33" s="133" t="s">
        <v>257</v>
      </c>
      <c r="V33" s="133" t="s">
        <v>266</v>
      </c>
    </row>
    <row r="34" spans="1:22" ht="15.75" customHeight="1">
      <c r="A34" s="133" t="s">
        <v>261</v>
      </c>
      <c r="B34" s="175"/>
      <c r="F34" s="133" t="s">
        <v>291</v>
      </c>
      <c r="M34" s="175" t="s">
        <v>256</v>
      </c>
      <c r="N34" s="145"/>
      <c r="O34" s="145"/>
      <c r="T34" s="134">
        <v>0</v>
      </c>
      <c r="U34" s="133" t="s">
        <v>257</v>
      </c>
      <c r="V34" s="133" t="s">
        <v>258</v>
      </c>
    </row>
    <row r="35" spans="1:22" ht="15.75" customHeight="1">
      <c r="A35" s="133" t="s">
        <v>261</v>
      </c>
      <c r="B35" s="175"/>
      <c r="F35" s="133" t="s">
        <v>292</v>
      </c>
      <c r="M35" s="175" t="s">
        <v>256</v>
      </c>
      <c r="N35" s="145">
        <f t="shared" si="0"/>
        <v>1800</v>
      </c>
      <c r="O35" s="145">
        <v>150</v>
      </c>
      <c r="T35" s="134">
        <v>0</v>
      </c>
      <c r="U35" s="133" t="s">
        <v>257</v>
      </c>
      <c r="V35" s="133" t="s">
        <v>258</v>
      </c>
    </row>
    <row r="36" spans="1:22" ht="15.75" customHeight="1">
      <c r="A36" s="133" t="s">
        <v>254</v>
      </c>
      <c r="B36" s="175"/>
      <c r="F36" s="133" t="s">
        <v>293</v>
      </c>
      <c r="M36" s="175" t="s">
        <v>256</v>
      </c>
      <c r="N36" s="145"/>
      <c r="O36" s="145"/>
      <c r="T36" s="134">
        <v>0</v>
      </c>
      <c r="U36" s="133" t="s">
        <v>257</v>
      </c>
      <c r="V36" s="133" t="s">
        <v>258</v>
      </c>
    </row>
    <row r="37" spans="1:22" ht="15.75" customHeight="1">
      <c r="A37" s="133" t="s">
        <v>261</v>
      </c>
      <c r="B37" s="175"/>
      <c r="F37" s="133" t="s">
        <v>294</v>
      </c>
      <c r="M37" s="175" t="s">
        <v>256</v>
      </c>
      <c r="N37" s="145">
        <f t="shared" si="0"/>
        <v>3600</v>
      </c>
      <c r="O37" s="145">
        <v>300</v>
      </c>
      <c r="T37" s="134">
        <v>0</v>
      </c>
      <c r="U37" s="133" t="s">
        <v>265</v>
      </c>
      <c r="V37" s="133" t="s">
        <v>266</v>
      </c>
    </row>
    <row r="38" spans="1:22" ht="15.75" customHeight="1">
      <c r="A38" s="133" t="s">
        <v>261</v>
      </c>
      <c r="B38" s="175"/>
      <c r="F38" s="133" t="s">
        <v>295</v>
      </c>
      <c r="M38" s="175" t="s">
        <v>256</v>
      </c>
      <c r="N38" s="145">
        <f t="shared" si="0"/>
        <v>838.31999999999994</v>
      </c>
      <c r="O38" s="145">
        <v>69.86</v>
      </c>
      <c r="T38" s="134">
        <v>0</v>
      </c>
      <c r="U38" s="133" t="s">
        <v>265</v>
      </c>
      <c r="V38" s="133" t="s">
        <v>266</v>
      </c>
    </row>
    <row r="39" spans="1:22" ht="15.75" customHeight="1">
      <c r="A39" s="133" t="s">
        <v>261</v>
      </c>
      <c r="B39" s="175"/>
      <c r="F39" s="133" t="s">
        <v>296</v>
      </c>
      <c r="M39" s="175" t="s">
        <v>256</v>
      </c>
      <c r="N39" s="145">
        <f t="shared" si="0"/>
        <v>1800</v>
      </c>
      <c r="O39" s="145">
        <v>150</v>
      </c>
      <c r="T39" s="134">
        <v>0</v>
      </c>
      <c r="U39" s="133" t="s">
        <v>265</v>
      </c>
      <c r="V39" s="133" t="s">
        <v>266</v>
      </c>
    </row>
    <row r="40" spans="1:22" ht="15.75" customHeight="1">
      <c r="A40" s="133" t="s">
        <v>261</v>
      </c>
      <c r="B40" s="175"/>
      <c r="F40" s="133" t="s">
        <v>297</v>
      </c>
      <c r="M40" s="175" t="s">
        <v>256</v>
      </c>
      <c r="N40" s="145">
        <f t="shared" si="0"/>
        <v>1800</v>
      </c>
      <c r="O40" s="145">
        <v>150</v>
      </c>
      <c r="T40" s="134">
        <v>0</v>
      </c>
      <c r="U40" s="133" t="s">
        <v>265</v>
      </c>
      <c r="V40" s="133" t="s">
        <v>266</v>
      </c>
    </row>
    <row r="41" spans="1:22" ht="15.75" customHeight="1">
      <c r="A41" s="133" t="s">
        <v>261</v>
      </c>
      <c r="B41" s="175"/>
      <c r="F41" s="133" t="s">
        <v>298</v>
      </c>
      <c r="M41" s="175" t="s">
        <v>256</v>
      </c>
      <c r="N41" s="145"/>
      <c r="O41" s="145"/>
      <c r="T41" s="134">
        <v>0</v>
      </c>
      <c r="U41" s="133" t="s">
        <v>257</v>
      </c>
      <c r="V41" s="133" t="s">
        <v>258</v>
      </c>
    </row>
    <row r="42" spans="1:22" ht="15.75" customHeight="1">
      <c r="A42" s="133" t="s">
        <v>261</v>
      </c>
      <c r="B42" s="175"/>
      <c r="F42" s="133" t="s">
        <v>299</v>
      </c>
      <c r="M42" s="175" t="s">
        <v>256</v>
      </c>
      <c r="N42" s="145">
        <f t="shared" si="0"/>
        <v>1800</v>
      </c>
      <c r="O42" s="145">
        <v>150</v>
      </c>
      <c r="T42" s="134">
        <v>0</v>
      </c>
      <c r="U42" s="133" t="s">
        <v>265</v>
      </c>
      <c r="V42" s="133" t="s">
        <v>266</v>
      </c>
    </row>
    <row r="43" spans="1:22" ht="15.75" customHeight="1">
      <c r="A43" s="133" t="s">
        <v>261</v>
      </c>
      <c r="B43" s="175"/>
      <c r="F43" s="133" t="s">
        <v>300</v>
      </c>
      <c r="M43" s="175" t="s">
        <v>256</v>
      </c>
      <c r="N43" s="145">
        <f t="shared" si="0"/>
        <v>1800</v>
      </c>
      <c r="O43" s="145">
        <v>150</v>
      </c>
      <c r="T43" s="134">
        <v>0</v>
      </c>
      <c r="U43" s="133" t="s">
        <v>265</v>
      </c>
      <c r="V43" s="133" t="s">
        <v>266</v>
      </c>
    </row>
    <row r="44" spans="1:22" ht="15.75" customHeight="1">
      <c r="A44" s="133" t="s">
        <v>261</v>
      </c>
      <c r="B44" s="175"/>
      <c r="F44" s="133" t="s">
        <v>301</v>
      </c>
      <c r="M44" s="175" t="s">
        <v>256</v>
      </c>
      <c r="N44" s="145">
        <f t="shared" si="0"/>
        <v>27480</v>
      </c>
      <c r="O44" s="145">
        <v>2290</v>
      </c>
      <c r="T44" s="134">
        <v>0</v>
      </c>
      <c r="U44" s="133" t="s">
        <v>265</v>
      </c>
      <c r="V44" s="133" t="s">
        <v>266</v>
      </c>
    </row>
    <row r="45" spans="1:22" ht="15.75" customHeight="1">
      <c r="A45" s="133" t="s">
        <v>261</v>
      </c>
      <c r="B45" s="175"/>
      <c r="F45" s="133" t="s">
        <v>302</v>
      </c>
      <c r="M45" s="175" t="s">
        <v>256</v>
      </c>
      <c r="N45" s="145">
        <f t="shared" si="0"/>
        <v>6000</v>
      </c>
      <c r="O45" s="145">
        <v>500</v>
      </c>
      <c r="T45" s="134">
        <v>0</v>
      </c>
      <c r="U45" s="133" t="s">
        <v>265</v>
      </c>
      <c r="V45" s="133" t="s">
        <v>266</v>
      </c>
    </row>
    <row r="46" spans="1:22" ht="15.75" customHeight="1">
      <c r="A46" s="246" t="s">
        <v>254</v>
      </c>
      <c r="B46" s="274" t="s">
        <v>226</v>
      </c>
      <c r="C46" s="247" t="s">
        <v>303</v>
      </c>
      <c r="D46" s="247" t="s">
        <v>304</v>
      </c>
      <c r="E46" s="248" t="s">
        <v>305</v>
      </c>
      <c r="F46" s="247" t="s">
        <v>306</v>
      </c>
      <c r="G46" s="246" t="s">
        <v>307</v>
      </c>
      <c r="H46" s="133" t="s">
        <v>308</v>
      </c>
      <c r="I46" s="246" t="s">
        <v>309</v>
      </c>
      <c r="M46" s="246" t="s">
        <v>310</v>
      </c>
      <c r="N46" s="145"/>
      <c r="O46" s="145"/>
      <c r="T46" s="134" t="s">
        <v>311</v>
      </c>
    </row>
    <row r="47" spans="1:22" ht="15.75" customHeight="1">
      <c r="A47" s="246" t="s">
        <v>254</v>
      </c>
      <c r="B47" s="274" t="s">
        <v>226</v>
      </c>
      <c r="C47" s="247" t="s">
        <v>303</v>
      </c>
      <c r="D47" s="247" t="s">
        <v>304</v>
      </c>
      <c r="E47" s="248" t="s">
        <v>305</v>
      </c>
      <c r="F47" s="247" t="s">
        <v>312</v>
      </c>
      <c r="G47" s="246" t="s">
        <v>307</v>
      </c>
      <c r="H47" s="133" t="s">
        <v>308</v>
      </c>
      <c r="I47" s="246" t="s">
        <v>309</v>
      </c>
      <c r="M47" s="246" t="s">
        <v>310</v>
      </c>
      <c r="N47" s="145"/>
      <c r="O47" s="145"/>
      <c r="T47" s="134" t="s">
        <v>311</v>
      </c>
    </row>
    <row r="48" spans="1:22" ht="66.75">
      <c r="A48" s="133" t="s">
        <v>313</v>
      </c>
      <c r="B48" s="274" t="s">
        <v>314</v>
      </c>
      <c r="C48" s="134" t="s">
        <v>315</v>
      </c>
      <c r="D48" s="133" t="s">
        <v>316</v>
      </c>
      <c r="E48" s="134" t="s">
        <v>317</v>
      </c>
      <c r="F48" s="133" t="s">
        <v>318</v>
      </c>
      <c r="G48" s="133" t="str">
        <f>LEFT(F48, 13)</f>
        <v>kmi-cp-gai-01</v>
      </c>
      <c r="H48" s="133" t="s">
        <v>308</v>
      </c>
      <c r="I48" s="133" t="s">
        <v>319</v>
      </c>
      <c r="J48" s="177" t="s">
        <v>320</v>
      </c>
      <c r="K48" s="175" t="s">
        <v>321</v>
      </c>
      <c r="L48" s="175" t="s">
        <v>322</v>
      </c>
      <c r="M48" s="175" t="s">
        <v>256</v>
      </c>
      <c r="N48" s="190">
        <v>7200</v>
      </c>
      <c r="O48" s="190">
        <v>600</v>
      </c>
      <c r="P48" s="163"/>
      <c r="Q48" s="134" t="s">
        <v>323</v>
      </c>
      <c r="R48" s="134" t="s">
        <v>324</v>
      </c>
      <c r="S48" s="134" t="s">
        <v>325</v>
      </c>
      <c r="T48" s="134" t="s">
        <v>325</v>
      </c>
      <c r="U48" s="133" t="s">
        <v>265</v>
      </c>
      <c r="V48" s="133" t="s">
        <v>266</v>
      </c>
    </row>
    <row r="49" spans="1:30" ht="66.75">
      <c r="A49" s="133" t="s">
        <v>313</v>
      </c>
      <c r="B49" s="274" t="s">
        <v>314</v>
      </c>
      <c r="C49" s="134" t="s">
        <v>315</v>
      </c>
      <c r="D49" s="133" t="s">
        <v>316</v>
      </c>
      <c r="E49" s="134" t="s">
        <v>317</v>
      </c>
      <c r="F49" s="133" t="s">
        <v>326</v>
      </c>
      <c r="G49" s="133" t="str">
        <f t="shared" ref="G49:G97" si="1">LEFT(F49, 13)</f>
        <v>kmi-cp-gai-01</v>
      </c>
      <c r="H49" s="133" t="s">
        <v>308</v>
      </c>
      <c r="I49" s="133" t="s">
        <v>327</v>
      </c>
      <c r="J49" s="177" t="s">
        <v>320</v>
      </c>
      <c r="K49" s="175" t="s">
        <v>328</v>
      </c>
      <c r="L49" s="175" t="s">
        <v>322</v>
      </c>
      <c r="M49" s="175" t="s">
        <v>256</v>
      </c>
      <c r="N49" s="190">
        <v>4800</v>
      </c>
      <c r="O49" s="190">
        <v>400</v>
      </c>
      <c r="P49" s="163"/>
      <c r="Q49" s="134" t="s">
        <v>323</v>
      </c>
      <c r="R49" s="134" t="s">
        <v>324</v>
      </c>
      <c r="S49" s="134" t="s">
        <v>325</v>
      </c>
      <c r="T49" s="134" t="s">
        <v>325</v>
      </c>
      <c r="U49" s="133" t="s">
        <v>265</v>
      </c>
      <c r="V49" s="133" t="s">
        <v>266</v>
      </c>
    </row>
    <row r="50" spans="1:30" ht="66.75">
      <c r="A50" s="133" t="s">
        <v>313</v>
      </c>
      <c r="B50" s="274" t="s">
        <v>314</v>
      </c>
      <c r="C50" s="134" t="s">
        <v>315</v>
      </c>
      <c r="D50" s="133" t="s">
        <v>316</v>
      </c>
      <c r="E50" s="134" t="s">
        <v>317</v>
      </c>
      <c r="F50" s="133" t="s">
        <v>329</v>
      </c>
      <c r="G50" s="133" t="str">
        <f t="shared" si="1"/>
        <v>kmi-cp-gai-01</v>
      </c>
      <c r="H50" s="133" t="s">
        <v>308</v>
      </c>
      <c r="I50" s="133" t="s">
        <v>330</v>
      </c>
      <c r="J50" s="177" t="s">
        <v>320</v>
      </c>
      <c r="K50" s="175" t="s">
        <v>328</v>
      </c>
      <c r="L50" s="175" t="s">
        <v>322</v>
      </c>
      <c r="M50" s="175" t="s">
        <v>256</v>
      </c>
      <c r="N50" s="190">
        <v>4800</v>
      </c>
      <c r="O50" s="190">
        <v>400</v>
      </c>
      <c r="P50" s="163"/>
      <c r="Q50" s="134" t="s">
        <v>323</v>
      </c>
      <c r="R50" s="134" t="s">
        <v>324</v>
      </c>
      <c r="S50" s="134" t="s">
        <v>325</v>
      </c>
      <c r="T50" s="134" t="s">
        <v>325</v>
      </c>
      <c r="U50" s="133" t="s">
        <v>265</v>
      </c>
      <c r="V50" s="133" t="s">
        <v>266</v>
      </c>
    </row>
    <row r="51" spans="1:30" ht="66.75">
      <c r="A51" s="133" t="s">
        <v>313</v>
      </c>
      <c r="B51" s="274" t="s">
        <v>314</v>
      </c>
      <c r="C51" s="134" t="s">
        <v>315</v>
      </c>
      <c r="D51" s="133" t="s">
        <v>316</v>
      </c>
      <c r="E51" s="134" t="s">
        <v>331</v>
      </c>
      <c r="F51" s="134" t="s">
        <v>332</v>
      </c>
      <c r="G51" s="133" t="str">
        <f t="shared" si="1"/>
        <v>gai-cp-ncb-01</v>
      </c>
      <c r="H51" s="133" t="s">
        <v>333</v>
      </c>
      <c r="I51" s="133" t="s">
        <v>334</v>
      </c>
      <c r="J51" s="177" t="s">
        <v>335</v>
      </c>
      <c r="K51" s="175" t="s">
        <v>336</v>
      </c>
      <c r="L51" s="175" t="s">
        <v>337</v>
      </c>
      <c r="M51" s="175" t="s">
        <v>338</v>
      </c>
      <c r="N51" s="145">
        <f>O51*12</f>
        <v>36000</v>
      </c>
      <c r="O51" s="190">
        <v>3000</v>
      </c>
      <c r="P51" s="167" t="s">
        <v>339</v>
      </c>
      <c r="Q51" s="134" t="s">
        <v>340</v>
      </c>
      <c r="R51" s="134" t="s">
        <v>341</v>
      </c>
      <c r="S51" s="134" t="s">
        <v>325</v>
      </c>
      <c r="T51" s="134" t="s">
        <v>325</v>
      </c>
      <c r="U51" s="133" t="s">
        <v>265</v>
      </c>
      <c r="V51" s="133" t="s">
        <v>266</v>
      </c>
      <c r="W51" s="233"/>
    </row>
    <row r="52" spans="1:30" ht="66.75">
      <c r="A52" s="133" t="s">
        <v>313</v>
      </c>
      <c r="B52" s="274" t="s">
        <v>314</v>
      </c>
      <c r="C52" s="134" t="s">
        <v>315</v>
      </c>
      <c r="D52" s="133" t="s">
        <v>316</v>
      </c>
      <c r="E52" s="134" t="s">
        <v>331</v>
      </c>
      <c r="F52" s="134" t="s">
        <v>342</v>
      </c>
      <c r="G52" s="133" t="str">
        <f t="shared" si="1"/>
        <v>gai-cp-ncb-01</v>
      </c>
      <c r="H52" s="133" t="s">
        <v>333</v>
      </c>
      <c r="I52" s="133" t="s">
        <v>343</v>
      </c>
      <c r="J52" s="177" t="s">
        <v>335</v>
      </c>
      <c r="K52" s="175" t="s">
        <v>336</v>
      </c>
      <c r="L52" s="175" t="s">
        <v>337</v>
      </c>
      <c r="M52" s="175" t="s">
        <v>338</v>
      </c>
      <c r="N52" s="145">
        <f>O52*12</f>
        <v>36000</v>
      </c>
      <c r="O52" s="190">
        <v>3000</v>
      </c>
      <c r="P52" s="167" t="s">
        <v>339</v>
      </c>
      <c r="Q52" s="134" t="s">
        <v>344</v>
      </c>
      <c r="R52" s="134" t="s">
        <v>341</v>
      </c>
      <c r="S52" s="134" t="s">
        <v>325</v>
      </c>
      <c r="T52" s="134" t="s">
        <v>325</v>
      </c>
      <c r="U52" s="133" t="s">
        <v>265</v>
      </c>
      <c r="V52" s="133" t="s">
        <v>266</v>
      </c>
    </row>
    <row r="53" spans="1:30" ht="16.5">
      <c r="A53" s="133" t="s">
        <v>261</v>
      </c>
      <c r="B53" s="274" t="s">
        <v>314</v>
      </c>
      <c r="C53" s="134" t="s">
        <v>315</v>
      </c>
      <c r="D53" s="133" t="s">
        <v>345</v>
      </c>
      <c r="E53" s="134" t="s">
        <v>346</v>
      </c>
      <c r="F53" s="133" t="s">
        <v>347</v>
      </c>
      <c r="G53" s="133" t="str">
        <f t="shared" si="1"/>
        <v>queue-llm-poc</v>
      </c>
      <c r="H53" s="133" t="s">
        <v>333</v>
      </c>
      <c r="I53" s="133" t="s">
        <v>348</v>
      </c>
      <c r="J53" s="177" t="s">
        <v>349</v>
      </c>
      <c r="K53" s="175" t="s">
        <v>350</v>
      </c>
      <c r="L53" s="175" t="s">
        <v>351</v>
      </c>
      <c r="M53" s="175" t="s">
        <v>256</v>
      </c>
      <c r="N53" s="145">
        <f>O53*12</f>
        <v>1800</v>
      </c>
      <c r="O53" s="190">
        <v>150</v>
      </c>
      <c r="T53" s="134" t="s">
        <v>325</v>
      </c>
      <c r="U53" s="133" t="s">
        <v>265</v>
      </c>
      <c r="V53" s="133" t="s">
        <v>266</v>
      </c>
      <c r="W53" s="232"/>
    </row>
    <row r="54" spans="1:30" ht="66.75">
      <c r="A54" s="133" t="s">
        <v>313</v>
      </c>
      <c r="B54" s="274" t="s">
        <v>314</v>
      </c>
      <c r="C54" s="133" t="s">
        <v>352</v>
      </c>
      <c r="D54" s="133" t="s">
        <v>353</v>
      </c>
      <c r="E54" s="134" t="s">
        <v>354</v>
      </c>
      <c r="F54" s="133" t="s">
        <v>355</v>
      </c>
      <c r="G54" s="133" t="s">
        <v>356</v>
      </c>
      <c r="H54" s="133" t="s">
        <v>333</v>
      </c>
      <c r="I54" s="133" t="s">
        <v>357</v>
      </c>
      <c r="J54" s="177" t="s">
        <v>358</v>
      </c>
      <c r="K54" s="175" t="s">
        <v>359</v>
      </c>
      <c r="M54" s="175" t="s">
        <v>256</v>
      </c>
      <c r="N54" s="190">
        <v>6600</v>
      </c>
      <c r="O54" s="190">
        <v>550</v>
      </c>
      <c r="P54" s="169"/>
      <c r="Q54" s="134" t="s">
        <v>360</v>
      </c>
      <c r="R54" s="134" t="s">
        <v>361</v>
      </c>
      <c r="S54" s="173" t="s">
        <v>362</v>
      </c>
      <c r="T54" s="134" t="s">
        <v>363</v>
      </c>
      <c r="U54" s="133" t="s">
        <v>265</v>
      </c>
      <c r="V54" s="133" t="s">
        <v>266</v>
      </c>
    </row>
    <row r="55" spans="1:30" ht="66.75">
      <c r="A55" s="133" t="s">
        <v>313</v>
      </c>
      <c r="B55" s="274" t="s">
        <v>314</v>
      </c>
      <c r="C55" s="133" t="s">
        <v>352</v>
      </c>
      <c r="D55" s="133" t="s">
        <v>353</v>
      </c>
      <c r="E55" s="134" t="s">
        <v>354</v>
      </c>
      <c r="F55" s="133" t="s">
        <v>364</v>
      </c>
      <c r="G55" s="133" t="str">
        <f t="shared" si="1"/>
        <v>svc-cp-gmc-01</v>
      </c>
      <c r="H55" s="133" t="s">
        <v>333</v>
      </c>
      <c r="I55" s="133" t="s">
        <v>365</v>
      </c>
      <c r="J55" s="177" t="s">
        <v>358</v>
      </c>
      <c r="K55" s="175" t="s">
        <v>359</v>
      </c>
      <c r="L55" s="175" t="s">
        <v>366</v>
      </c>
      <c r="M55" s="175" t="s">
        <v>256</v>
      </c>
      <c r="N55" s="190">
        <v>1200</v>
      </c>
      <c r="O55" s="190">
        <v>90</v>
      </c>
      <c r="P55" s="169"/>
      <c r="Q55" s="134" t="s">
        <v>360</v>
      </c>
      <c r="R55" s="134" t="s">
        <v>367</v>
      </c>
      <c r="S55" s="173" t="s">
        <v>362</v>
      </c>
      <c r="T55" s="134" t="s">
        <v>363</v>
      </c>
      <c r="U55" s="133" t="s">
        <v>265</v>
      </c>
      <c r="V55" s="133" t="s">
        <v>266</v>
      </c>
    </row>
    <row r="56" spans="1:30" ht="66.75">
      <c r="A56" s="133" t="s">
        <v>313</v>
      </c>
      <c r="B56" s="274" t="s">
        <v>314</v>
      </c>
      <c r="C56" s="133" t="s">
        <v>352</v>
      </c>
      <c r="D56" s="133" t="s">
        <v>353</v>
      </c>
      <c r="E56" s="134" t="s">
        <v>354</v>
      </c>
      <c r="F56" s="133" t="s">
        <v>368</v>
      </c>
      <c r="G56" s="133" t="str">
        <f t="shared" si="1"/>
        <v>svc-cp-gmc-01</v>
      </c>
      <c r="H56" s="133" t="s">
        <v>333</v>
      </c>
      <c r="I56" s="133" t="s">
        <v>334</v>
      </c>
      <c r="J56" s="177" t="s">
        <v>358</v>
      </c>
      <c r="K56" s="175" t="s">
        <v>359</v>
      </c>
      <c r="L56" s="175" t="s">
        <v>366</v>
      </c>
      <c r="M56" s="175" t="s">
        <v>256</v>
      </c>
      <c r="N56" s="190">
        <v>1200</v>
      </c>
      <c r="O56" s="190">
        <v>90</v>
      </c>
      <c r="P56" s="169"/>
      <c r="Q56" s="134" t="s">
        <v>360</v>
      </c>
      <c r="R56" s="134" t="s">
        <v>367</v>
      </c>
      <c r="S56" s="173" t="s">
        <v>362</v>
      </c>
      <c r="T56" s="134" t="s">
        <v>363</v>
      </c>
      <c r="U56" s="133" t="s">
        <v>265</v>
      </c>
      <c r="V56" s="133" t="s">
        <v>266</v>
      </c>
    </row>
    <row r="57" spans="1:30" ht="66.75">
      <c r="A57" s="133" t="s">
        <v>313</v>
      </c>
      <c r="B57" s="274" t="s">
        <v>314</v>
      </c>
      <c r="C57" s="133" t="s">
        <v>93</v>
      </c>
      <c r="D57" s="133" t="s">
        <v>369</v>
      </c>
      <c r="E57" s="134" t="s">
        <v>370</v>
      </c>
      <c r="F57" s="133" t="s">
        <v>371</v>
      </c>
      <c r="G57" s="133" t="str">
        <f t="shared" si="1"/>
        <v>svc-nt-www-01</v>
      </c>
      <c r="H57" s="133" t="s">
        <v>333</v>
      </c>
      <c r="I57" s="133" t="s">
        <v>365</v>
      </c>
      <c r="J57" s="177" t="s">
        <v>372</v>
      </c>
      <c r="K57" s="175" t="s">
        <v>373</v>
      </c>
      <c r="L57" s="175" t="s">
        <v>374</v>
      </c>
      <c r="M57" s="175" t="s">
        <v>256</v>
      </c>
      <c r="N57" s="190">
        <f>O57*12</f>
        <v>91200</v>
      </c>
      <c r="O57" s="190">
        <v>7600</v>
      </c>
      <c r="P57" s="169" t="s">
        <v>375</v>
      </c>
      <c r="Q57" s="135" t="s">
        <v>376</v>
      </c>
      <c r="R57" s="173" t="s">
        <v>377</v>
      </c>
      <c r="S57" s="173" t="s">
        <v>378</v>
      </c>
      <c r="T57" s="134" t="s">
        <v>363</v>
      </c>
      <c r="U57" s="133" t="s">
        <v>265</v>
      </c>
      <c r="V57" s="133" t="s">
        <v>266</v>
      </c>
    </row>
    <row r="58" spans="1:30" ht="66.75">
      <c r="A58" s="133" t="s">
        <v>313</v>
      </c>
      <c r="B58" s="274" t="s">
        <v>314</v>
      </c>
      <c r="C58" s="133" t="s">
        <v>93</v>
      </c>
      <c r="D58" s="133" t="s">
        <v>369</v>
      </c>
      <c r="E58" s="134" t="s">
        <v>370</v>
      </c>
      <c r="F58" s="133" t="s">
        <v>379</v>
      </c>
      <c r="G58" s="133" t="str">
        <f t="shared" si="1"/>
        <v>svc-nt-www-01</v>
      </c>
      <c r="H58" s="133" t="s">
        <v>333</v>
      </c>
      <c r="I58" s="133" t="s">
        <v>380</v>
      </c>
      <c r="J58" s="177" t="s">
        <v>372</v>
      </c>
      <c r="K58" s="175" t="s">
        <v>373</v>
      </c>
      <c r="L58" s="175" t="s">
        <v>374</v>
      </c>
      <c r="M58" s="175" t="s">
        <v>256</v>
      </c>
      <c r="N58" s="190">
        <v>55000</v>
      </c>
      <c r="O58" s="190">
        <v>4500</v>
      </c>
      <c r="P58" s="169"/>
      <c r="Q58" s="135" t="s">
        <v>381</v>
      </c>
      <c r="R58" s="173" t="s">
        <v>377</v>
      </c>
      <c r="S58" s="173" t="s">
        <v>378</v>
      </c>
      <c r="T58" s="134" t="s">
        <v>363</v>
      </c>
      <c r="U58" s="133" t="s">
        <v>265</v>
      </c>
      <c r="V58" s="133" t="s">
        <v>266</v>
      </c>
    </row>
    <row r="59" spans="1:30" ht="66.75">
      <c r="A59" s="133" t="s">
        <v>313</v>
      </c>
      <c r="B59" s="274" t="s">
        <v>314</v>
      </c>
      <c r="C59" s="133" t="s">
        <v>93</v>
      </c>
      <c r="D59" s="133" t="s">
        <v>382</v>
      </c>
      <c r="E59" s="134" t="s">
        <v>370</v>
      </c>
      <c r="F59" s="133" t="s">
        <v>383</v>
      </c>
      <c r="G59" s="133" t="str">
        <f t="shared" si="1"/>
        <v>svc-nt-www-01</v>
      </c>
      <c r="H59" s="133" t="s">
        <v>333</v>
      </c>
      <c r="I59" s="133" t="s">
        <v>334</v>
      </c>
      <c r="J59" s="177" t="s">
        <v>372</v>
      </c>
      <c r="K59" s="175" t="s">
        <v>373</v>
      </c>
      <c r="L59" s="175" t="s">
        <v>374</v>
      </c>
      <c r="M59" s="175" t="s">
        <v>256</v>
      </c>
      <c r="N59" s="190">
        <v>20000</v>
      </c>
      <c r="O59" s="190">
        <v>1600</v>
      </c>
      <c r="P59" s="169"/>
      <c r="Q59" s="135" t="s">
        <v>381</v>
      </c>
      <c r="R59" s="173" t="s">
        <v>377</v>
      </c>
      <c r="S59" s="173" t="s">
        <v>378</v>
      </c>
      <c r="T59" s="134" t="s">
        <v>363</v>
      </c>
      <c r="U59" s="133" t="s">
        <v>265</v>
      </c>
      <c r="V59" s="133" t="s">
        <v>266</v>
      </c>
    </row>
    <row r="60" spans="1:30" ht="66.75">
      <c r="A60" s="133" t="s">
        <v>313</v>
      </c>
      <c r="B60" s="274" t="s">
        <v>314</v>
      </c>
      <c r="C60" s="133" t="s">
        <v>384</v>
      </c>
      <c r="D60" s="133" t="s">
        <v>382</v>
      </c>
      <c r="E60" s="134" t="s">
        <v>385</v>
      </c>
      <c r="F60" s="133" t="s">
        <v>386</v>
      </c>
      <c r="G60" s="133" t="str">
        <f t="shared" si="1"/>
        <v>svc-nt-cms-01</v>
      </c>
      <c r="H60" s="133" t="s">
        <v>333</v>
      </c>
      <c r="I60" s="133" t="s">
        <v>343</v>
      </c>
      <c r="J60" s="177" t="s">
        <v>387</v>
      </c>
      <c r="K60" s="175" t="s">
        <v>388</v>
      </c>
      <c r="L60" s="175" t="s">
        <v>389</v>
      </c>
      <c r="M60" s="175" t="s">
        <v>256</v>
      </c>
      <c r="N60" s="190">
        <f>O60*12</f>
        <v>420</v>
      </c>
      <c r="O60" s="190">
        <v>35</v>
      </c>
      <c r="P60" s="170" t="s">
        <v>390</v>
      </c>
      <c r="Q60" s="137" t="s">
        <v>381</v>
      </c>
      <c r="R60" s="173" t="s">
        <v>377</v>
      </c>
      <c r="S60" s="173" t="s">
        <v>378</v>
      </c>
      <c r="T60" s="134" t="s">
        <v>363</v>
      </c>
      <c r="U60" s="133" t="s">
        <v>265</v>
      </c>
      <c r="V60" s="133" t="s">
        <v>266</v>
      </c>
      <c r="W60" s="154"/>
      <c r="AD60" s="144"/>
    </row>
    <row r="61" spans="1:30" ht="66.75">
      <c r="A61" s="133" t="s">
        <v>313</v>
      </c>
      <c r="B61" s="274" t="s">
        <v>314</v>
      </c>
      <c r="C61" s="133" t="s">
        <v>384</v>
      </c>
      <c r="D61" s="133" t="s">
        <v>382</v>
      </c>
      <c r="E61" s="134" t="s">
        <v>385</v>
      </c>
      <c r="F61" s="133" t="s">
        <v>391</v>
      </c>
      <c r="G61" s="133" t="str">
        <f t="shared" si="1"/>
        <v>svc-nt-cms-01</v>
      </c>
      <c r="H61" s="133" t="s">
        <v>333</v>
      </c>
      <c r="I61" s="133" t="s">
        <v>334</v>
      </c>
      <c r="J61" s="177" t="s">
        <v>387</v>
      </c>
      <c r="K61" s="175" t="s">
        <v>388</v>
      </c>
      <c r="L61" s="175" t="s">
        <v>389</v>
      </c>
      <c r="M61" s="175" t="s">
        <v>256</v>
      </c>
      <c r="N61" s="190">
        <v>200</v>
      </c>
      <c r="O61" s="190">
        <v>30</v>
      </c>
      <c r="P61" s="170" t="s">
        <v>392</v>
      </c>
      <c r="Q61" s="137" t="s">
        <v>381</v>
      </c>
      <c r="R61" s="173" t="s">
        <v>377</v>
      </c>
      <c r="S61" s="173" t="s">
        <v>378</v>
      </c>
      <c r="T61" s="134" t="s">
        <v>363</v>
      </c>
      <c r="U61" s="133" t="s">
        <v>265</v>
      </c>
      <c r="V61" s="133" t="s">
        <v>266</v>
      </c>
      <c r="W61" s="154"/>
      <c r="AD61" s="144"/>
    </row>
    <row r="62" spans="1:30" ht="66.75">
      <c r="A62" s="133" t="s">
        <v>313</v>
      </c>
      <c r="B62" s="274" t="s">
        <v>314</v>
      </c>
      <c r="C62" s="133" t="s">
        <v>93</v>
      </c>
      <c r="D62" s="133" t="s">
        <v>369</v>
      </c>
      <c r="E62" s="134" t="s">
        <v>393</v>
      </c>
      <c r="F62" s="133" t="s">
        <v>394</v>
      </c>
      <c r="G62" s="133" t="str">
        <f t="shared" si="1"/>
        <v>ebt-cp-lbc-01</v>
      </c>
      <c r="H62" s="133" t="s">
        <v>333</v>
      </c>
      <c r="I62" s="133" t="s">
        <v>365</v>
      </c>
      <c r="J62" s="177" t="s">
        <v>395</v>
      </c>
      <c r="K62" s="175" t="s">
        <v>396</v>
      </c>
      <c r="L62" s="175" t="s">
        <v>397</v>
      </c>
      <c r="M62" s="175" t="s">
        <v>256</v>
      </c>
      <c r="N62" s="190">
        <v>108000</v>
      </c>
      <c r="O62" s="190">
        <v>9000</v>
      </c>
      <c r="P62" s="169"/>
      <c r="Q62" s="135" t="s">
        <v>381</v>
      </c>
      <c r="R62" s="173" t="s">
        <v>377</v>
      </c>
      <c r="S62" s="173" t="s">
        <v>378</v>
      </c>
      <c r="T62" s="134" t="s">
        <v>363</v>
      </c>
      <c r="U62" s="133" t="s">
        <v>265</v>
      </c>
      <c r="V62" s="133" t="s">
        <v>266</v>
      </c>
      <c r="AD62" s="144"/>
    </row>
    <row r="63" spans="1:30" ht="66.75">
      <c r="A63" s="133" t="s">
        <v>313</v>
      </c>
      <c r="B63" s="274" t="s">
        <v>314</v>
      </c>
      <c r="C63" s="133" t="s">
        <v>93</v>
      </c>
      <c r="D63" s="133" t="s">
        <v>369</v>
      </c>
      <c r="E63" s="134" t="s">
        <v>393</v>
      </c>
      <c r="F63" s="133" t="s">
        <v>398</v>
      </c>
      <c r="G63" s="133" t="str">
        <f t="shared" si="1"/>
        <v>ebt-cp-lbc-01</v>
      </c>
      <c r="H63" s="133" t="s">
        <v>333</v>
      </c>
      <c r="I63" s="133" t="s">
        <v>380</v>
      </c>
      <c r="J63" s="177" t="s">
        <v>395</v>
      </c>
      <c r="K63" s="175" t="s">
        <v>396</v>
      </c>
      <c r="L63" s="175" t="s">
        <v>397</v>
      </c>
      <c r="M63" s="175" t="s">
        <v>256</v>
      </c>
      <c r="N63" s="190">
        <v>73200</v>
      </c>
      <c r="O63" s="190">
        <v>7350</v>
      </c>
      <c r="P63" s="243" t="s">
        <v>399</v>
      </c>
      <c r="Q63" s="135" t="s">
        <v>381</v>
      </c>
      <c r="R63" s="173" t="s">
        <v>377</v>
      </c>
      <c r="S63" s="173" t="s">
        <v>378</v>
      </c>
      <c r="T63" s="134" t="s">
        <v>363</v>
      </c>
      <c r="U63" s="133" t="s">
        <v>265</v>
      </c>
      <c r="V63" s="133" t="s">
        <v>266</v>
      </c>
      <c r="AD63" s="144"/>
    </row>
    <row r="64" spans="1:30" ht="66.75">
      <c r="A64" s="133" t="s">
        <v>313</v>
      </c>
      <c r="B64" s="274" t="s">
        <v>314</v>
      </c>
      <c r="C64" s="133" t="s">
        <v>93</v>
      </c>
      <c r="D64" s="133" t="s">
        <v>369</v>
      </c>
      <c r="E64" s="134" t="s">
        <v>393</v>
      </c>
      <c r="F64" s="133" t="s">
        <v>400</v>
      </c>
      <c r="G64" s="133" t="str">
        <f t="shared" si="1"/>
        <v>ebt-cp-lbc-01</v>
      </c>
      <c r="H64" s="133" t="s">
        <v>333</v>
      </c>
      <c r="I64" s="133" t="s">
        <v>334</v>
      </c>
      <c r="J64" s="177" t="s">
        <v>395</v>
      </c>
      <c r="K64" s="175" t="s">
        <v>401</v>
      </c>
      <c r="L64" s="175" t="s">
        <v>397</v>
      </c>
      <c r="M64" s="175" t="s">
        <v>256</v>
      </c>
      <c r="N64" s="190">
        <v>16800</v>
      </c>
      <c r="O64" s="190">
        <v>1700</v>
      </c>
      <c r="P64" s="243" t="s">
        <v>399</v>
      </c>
      <c r="Q64" s="135" t="s">
        <v>381</v>
      </c>
      <c r="R64" s="173" t="s">
        <v>377</v>
      </c>
      <c r="S64" s="173" t="s">
        <v>378</v>
      </c>
      <c r="T64" s="134" t="s">
        <v>363</v>
      </c>
      <c r="U64" s="133" t="s">
        <v>265</v>
      </c>
      <c r="V64" s="133" t="s">
        <v>266</v>
      </c>
      <c r="AD64" s="144"/>
    </row>
    <row r="65" spans="1:28" ht="33.75">
      <c r="A65" s="138" t="s">
        <v>313</v>
      </c>
      <c r="B65" s="274" t="s">
        <v>314</v>
      </c>
      <c r="C65" s="138" t="s">
        <v>93</v>
      </c>
      <c r="D65" s="138" t="s">
        <v>402</v>
      </c>
      <c r="E65" s="139" t="s">
        <v>403</v>
      </c>
      <c r="F65" s="138" t="s">
        <v>404</v>
      </c>
      <c r="G65" s="133" t="str">
        <f t="shared" si="1"/>
        <v>mid-nt-stk-01</v>
      </c>
      <c r="H65" s="138" t="s">
        <v>333</v>
      </c>
      <c r="I65" s="138" t="s">
        <v>365</v>
      </c>
      <c r="J65" s="201" t="s">
        <v>405</v>
      </c>
      <c r="K65" s="183" t="s">
        <v>406</v>
      </c>
      <c r="L65" s="183" t="s">
        <v>407</v>
      </c>
      <c r="M65" s="175" t="s">
        <v>256</v>
      </c>
      <c r="N65" s="181">
        <v>0</v>
      </c>
      <c r="O65" s="195">
        <v>0</v>
      </c>
      <c r="P65" s="171"/>
      <c r="Q65" s="138" t="s">
        <v>407</v>
      </c>
      <c r="R65" s="139" t="s">
        <v>408</v>
      </c>
      <c r="S65" s="139"/>
      <c r="T65" s="134" t="s">
        <v>363</v>
      </c>
      <c r="U65" s="155" t="s">
        <v>257</v>
      </c>
      <c r="V65" s="155" t="s">
        <v>258</v>
      </c>
      <c r="W65" s="155" t="s">
        <v>409</v>
      </c>
      <c r="AB65" s="134"/>
    </row>
    <row r="66" spans="1:28" ht="33.75">
      <c r="A66" s="138" t="s">
        <v>313</v>
      </c>
      <c r="B66" s="274" t="s">
        <v>314</v>
      </c>
      <c r="C66" s="138" t="s">
        <v>93</v>
      </c>
      <c r="D66" s="138" t="s">
        <v>402</v>
      </c>
      <c r="E66" s="139" t="s">
        <v>403</v>
      </c>
      <c r="F66" s="138" t="s">
        <v>410</v>
      </c>
      <c r="G66" s="133" t="str">
        <f t="shared" si="1"/>
        <v>mid-nt-stk-01</v>
      </c>
      <c r="H66" s="138" t="s">
        <v>333</v>
      </c>
      <c r="I66" s="138" t="s">
        <v>380</v>
      </c>
      <c r="J66" s="201" t="s">
        <v>405</v>
      </c>
      <c r="K66" s="183" t="s">
        <v>406</v>
      </c>
      <c r="L66" s="183" t="s">
        <v>407</v>
      </c>
      <c r="M66" s="175" t="s">
        <v>256</v>
      </c>
      <c r="N66" s="181">
        <v>0</v>
      </c>
      <c r="O66" s="195">
        <v>0</v>
      </c>
      <c r="P66" s="171"/>
      <c r="Q66" s="138" t="s">
        <v>407</v>
      </c>
      <c r="R66" s="139" t="s">
        <v>408</v>
      </c>
      <c r="S66" s="139"/>
      <c r="T66" s="134" t="s">
        <v>363</v>
      </c>
      <c r="U66" s="155" t="s">
        <v>257</v>
      </c>
      <c r="V66" s="155" t="s">
        <v>258</v>
      </c>
      <c r="W66" s="155" t="s">
        <v>409</v>
      </c>
    </row>
    <row r="67" spans="1:28" ht="33.75">
      <c r="A67" s="138" t="s">
        <v>313</v>
      </c>
      <c r="B67" s="274" t="s">
        <v>314</v>
      </c>
      <c r="C67" s="138" t="s">
        <v>93</v>
      </c>
      <c r="D67" s="138" t="s">
        <v>402</v>
      </c>
      <c r="E67" s="139" t="s">
        <v>403</v>
      </c>
      <c r="F67" s="138" t="s">
        <v>411</v>
      </c>
      <c r="G67" s="133" t="str">
        <f t="shared" si="1"/>
        <v>mid-nt-stk-01</v>
      </c>
      <c r="H67" s="138" t="s">
        <v>333</v>
      </c>
      <c r="I67" s="138" t="s">
        <v>334</v>
      </c>
      <c r="J67" s="201" t="s">
        <v>405</v>
      </c>
      <c r="K67" s="183" t="s">
        <v>406</v>
      </c>
      <c r="L67" s="183" t="s">
        <v>407</v>
      </c>
      <c r="M67" s="175" t="s">
        <v>256</v>
      </c>
      <c r="N67" s="181">
        <v>0</v>
      </c>
      <c r="O67" s="195">
        <v>0</v>
      </c>
      <c r="P67" s="171"/>
      <c r="Q67" s="138" t="s">
        <v>407</v>
      </c>
      <c r="R67" s="139" t="s">
        <v>408</v>
      </c>
      <c r="S67" s="139"/>
      <c r="T67" s="134" t="s">
        <v>363</v>
      </c>
      <c r="U67" s="155" t="s">
        <v>257</v>
      </c>
      <c r="V67" s="155" t="s">
        <v>258</v>
      </c>
      <c r="W67" s="155" t="s">
        <v>409</v>
      </c>
    </row>
    <row r="68" spans="1:28" ht="33.75">
      <c r="A68" s="133" t="s">
        <v>412</v>
      </c>
      <c r="B68" s="274" t="s">
        <v>314</v>
      </c>
      <c r="C68" s="133" t="s">
        <v>384</v>
      </c>
      <c r="D68" s="133" t="s">
        <v>369</v>
      </c>
      <c r="E68" s="134" t="s">
        <v>413</v>
      </c>
      <c r="F68" s="133" t="s">
        <v>414</v>
      </c>
      <c r="G68" s="133" t="str">
        <f t="shared" si="1"/>
        <v>root-logic-46</v>
      </c>
      <c r="H68" s="142" t="s">
        <v>31</v>
      </c>
      <c r="I68" s="142" t="s">
        <v>348</v>
      </c>
      <c r="J68" s="177" t="s">
        <v>415</v>
      </c>
      <c r="K68" s="184"/>
      <c r="L68" s="183" t="s">
        <v>407</v>
      </c>
      <c r="M68" s="175" t="s">
        <v>256</v>
      </c>
      <c r="N68" s="145">
        <f>O68*12</f>
        <v>1800</v>
      </c>
      <c r="O68" s="190">
        <v>150</v>
      </c>
      <c r="P68" s="168" t="s">
        <v>416</v>
      </c>
      <c r="T68" s="134" t="s">
        <v>363</v>
      </c>
      <c r="U68" s="133" t="s">
        <v>265</v>
      </c>
      <c r="V68" s="133" t="s">
        <v>266</v>
      </c>
    </row>
    <row r="69" spans="1:28" ht="251.25">
      <c r="A69" s="133" t="s">
        <v>313</v>
      </c>
      <c r="B69" s="274" t="s">
        <v>314</v>
      </c>
      <c r="C69" s="133" t="s">
        <v>384</v>
      </c>
      <c r="D69" s="133" t="s">
        <v>369</v>
      </c>
      <c r="E69" s="134" t="s">
        <v>417</v>
      </c>
      <c r="F69" s="133" t="s">
        <v>418</v>
      </c>
      <c r="G69" s="133" t="str">
        <f t="shared" si="1"/>
        <v>ebt-cp-lbc-02</v>
      </c>
      <c r="H69" s="133" t="s">
        <v>333</v>
      </c>
      <c r="I69" s="133" t="s">
        <v>334</v>
      </c>
      <c r="J69" s="177" t="s">
        <v>419</v>
      </c>
      <c r="K69" s="175" t="s">
        <v>420</v>
      </c>
      <c r="L69" s="175" t="s">
        <v>421</v>
      </c>
      <c r="M69" s="175" t="s">
        <v>256</v>
      </c>
      <c r="N69" s="145">
        <f>O69*12</f>
        <v>7200</v>
      </c>
      <c r="O69" s="190">
        <v>600</v>
      </c>
      <c r="P69" s="167" t="s">
        <v>422</v>
      </c>
      <c r="Q69" s="134" t="s">
        <v>423</v>
      </c>
      <c r="R69" s="173" t="s">
        <v>424</v>
      </c>
      <c r="S69" s="173" t="s">
        <v>378</v>
      </c>
      <c r="T69" s="134" t="s">
        <v>363</v>
      </c>
      <c r="U69" s="133" t="s">
        <v>265</v>
      </c>
      <c r="V69" s="133" t="s">
        <v>266</v>
      </c>
      <c r="W69" s="153" t="s">
        <v>425</v>
      </c>
    </row>
    <row r="70" spans="1:28" ht="33.75">
      <c r="A70" s="138" t="s">
        <v>426</v>
      </c>
      <c r="B70" s="274" t="s">
        <v>314</v>
      </c>
      <c r="C70" s="138" t="s">
        <v>427</v>
      </c>
      <c r="D70" s="138" t="s">
        <v>428</v>
      </c>
      <c r="E70" s="139" t="s">
        <v>429</v>
      </c>
      <c r="F70" s="138" t="s">
        <v>430</v>
      </c>
      <c r="G70" s="138" t="str">
        <f t="shared" si="1"/>
        <v>gai-card-cons</v>
      </c>
      <c r="H70" s="138" t="s">
        <v>333</v>
      </c>
      <c r="I70" s="138" t="s">
        <v>334</v>
      </c>
      <c r="J70" s="216" t="s">
        <v>431</v>
      </c>
      <c r="K70" s="183" t="s">
        <v>432</v>
      </c>
      <c r="L70" s="183" t="s">
        <v>433</v>
      </c>
      <c r="M70" s="175" t="s">
        <v>256</v>
      </c>
      <c r="N70" s="181">
        <v>10000</v>
      </c>
      <c r="O70" s="181">
        <v>1531</v>
      </c>
      <c r="P70" s="181" t="s">
        <v>434</v>
      </c>
      <c r="Q70" s="181" t="s">
        <v>435</v>
      </c>
      <c r="R70" s="181" t="s">
        <v>436</v>
      </c>
      <c r="S70" s="181"/>
      <c r="T70" s="134" t="s">
        <v>363</v>
      </c>
      <c r="U70" s="181" t="s">
        <v>257</v>
      </c>
      <c r="V70" s="155" t="s">
        <v>258</v>
      </c>
      <c r="W70" s="181" t="s">
        <v>437</v>
      </c>
    </row>
    <row r="71" spans="1:28" ht="66.75">
      <c r="A71" s="133" t="s">
        <v>313</v>
      </c>
      <c r="B71" s="274" t="s">
        <v>314</v>
      </c>
      <c r="C71" s="133" t="s">
        <v>427</v>
      </c>
      <c r="D71" s="133" t="s">
        <v>438</v>
      </c>
      <c r="E71" s="134" t="s">
        <v>439</v>
      </c>
      <c r="F71" s="133" t="s">
        <v>440</v>
      </c>
      <c r="G71" s="133" t="str">
        <f t="shared" si="1"/>
        <v>com-lx-atc-01</v>
      </c>
      <c r="H71" s="133" t="s">
        <v>333</v>
      </c>
      <c r="I71" s="133" t="s">
        <v>365</v>
      </c>
      <c r="J71" s="177" t="s">
        <v>441</v>
      </c>
      <c r="K71" s="175" t="s">
        <v>442</v>
      </c>
      <c r="L71" s="175" t="s">
        <v>421</v>
      </c>
      <c r="M71" s="175" t="s">
        <v>256</v>
      </c>
      <c r="N71" s="190">
        <f>171387*12/33</f>
        <v>62322.545454545456</v>
      </c>
      <c r="O71" s="190">
        <f>N71/12</f>
        <v>5193.545454545455</v>
      </c>
      <c r="P71" s="169"/>
      <c r="Q71" s="134" t="s">
        <v>443</v>
      </c>
      <c r="R71" s="134" t="s">
        <v>444</v>
      </c>
      <c r="S71" s="173" t="s">
        <v>445</v>
      </c>
      <c r="T71" s="134" t="s">
        <v>363</v>
      </c>
      <c r="U71" s="133" t="s">
        <v>265</v>
      </c>
      <c r="V71" s="133" t="s">
        <v>266</v>
      </c>
    </row>
    <row r="72" spans="1:28" ht="66.75">
      <c r="A72" s="133" t="s">
        <v>313</v>
      </c>
      <c r="B72" s="274" t="s">
        <v>314</v>
      </c>
      <c r="C72" s="133" t="s">
        <v>427</v>
      </c>
      <c r="D72" s="133" t="s">
        <v>428</v>
      </c>
      <c r="E72" s="134" t="s">
        <v>439</v>
      </c>
      <c r="F72" s="133" t="s">
        <v>446</v>
      </c>
      <c r="G72" s="133" t="str">
        <f t="shared" si="1"/>
        <v>com-lx-atc-01</v>
      </c>
      <c r="H72" s="133" t="s">
        <v>333</v>
      </c>
      <c r="I72" s="133" t="s">
        <v>380</v>
      </c>
      <c r="J72" s="177" t="s">
        <v>441</v>
      </c>
      <c r="K72" s="175" t="s">
        <v>442</v>
      </c>
      <c r="L72" s="175" t="s">
        <v>421</v>
      </c>
      <c r="M72" s="175" t="s">
        <v>256</v>
      </c>
      <c r="N72" s="190">
        <f>267719*12/33</f>
        <v>97352.363636363632</v>
      </c>
      <c r="O72" s="190">
        <f>N72/12</f>
        <v>8112.6969696969691</v>
      </c>
      <c r="P72" s="169"/>
      <c r="Q72" s="134" t="s">
        <v>435</v>
      </c>
      <c r="R72" s="134" t="s">
        <v>444</v>
      </c>
      <c r="S72" s="173" t="s">
        <v>445</v>
      </c>
      <c r="T72" s="134" t="s">
        <v>363</v>
      </c>
      <c r="U72" s="133" t="s">
        <v>265</v>
      </c>
      <c r="V72" s="133" t="s">
        <v>266</v>
      </c>
    </row>
    <row r="73" spans="1:28" ht="66.75">
      <c r="A73" s="133" t="s">
        <v>313</v>
      </c>
      <c r="B73" s="274" t="s">
        <v>314</v>
      </c>
      <c r="C73" s="133" t="s">
        <v>447</v>
      </c>
      <c r="D73" s="133" t="s">
        <v>428</v>
      </c>
      <c r="E73" s="134" t="s">
        <v>439</v>
      </c>
      <c r="F73" s="133" t="s">
        <v>448</v>
      </c>
      <c r="G73" s="133" t="str">
        <f t="shared" si="1"/>
        <v>com-lx-atc-01</v>
      </c>
      <c r="H73" s="133" t="s">
        <v>333</v>
      </c>
      <c r="I73" s="133" t="s">
        <v>334</v>
      </c>
      <c r="J73" s="177" t="s">
        <v>441</v>
      </c>
      <c r="K73" s="175" t="s">
        <v>442</v>
      </c>
      <c r="L73" s="175" t="s">
        <v>421</v>
      </c>
      <c r="M73" s="175" t="s">
        <v>256</v>
      </c>
      <c r="N73" s="190">
        <v>34446</v>
      </c>
      <c r="O73" s="190">
        <f>N73/12</f>
        <v>2870.5</v>
      </c>
      <c r="P73" s="169"/>
      <c r="Q73" s="134" t="s">
        <v>435</v>
      </c>
      <c r="R73" s="134" t="s">
        <v>444</v>
      </c>
      <c r="S73" s="173" t="s">
        <v>445</v>
      </c>
      <c r="T73" s="134" t="s">
        <v>363</v>
      </c>
      <c r="U73" s="133" t="s">
        <v>265</v>
      </c>
      <c r="V73" s="133" t="s">
        <v>266</v>
      </c>
    </row>
    <row r="74" spans="1:28" ht="66.75">
      <c r="A74" s="133" t="s">
        <v>313</v>
      </c>
      <c r="B74" s="274" t="s">
        <v>314</v>
      </c>
      <c r="C74" s="133" t="s">
        <v>427</v>
      </c>
      <c r="D74" s="133" t="s">
        <v>449</v>
      </c>
      <c r="E74" s="134" t="s">
        <v>450</v>
      </c>
      <c r="F74" s="133" t="s">
        <v>451</v>
      </c>
      <c r="G74" s="133" t="str">
        <f t="shared" si="1"/>
        <v>mid-lx-cai-01</v>
      </c>
      <c r="H74" s="133" t="s">
        <v>31</v>
      </c>
      <c r="I74" s="133" t="s">
        <v>309</v>
      </c>
      <c r="J74" s="177" t="s">
        <v>452</v>
      </c>
      <c r="K74" s="175" t="s">
        <v>453</v>
      </c>
      <c r="L74" s="175" t="s">
        <v>454</v>
      </c>
      <c r="M74" s="175" t="s">
        <v>256</v>
      </c>
      <c r="N74" s="190">
        <f>O74*12</f>
        <v>13080</v>
      </c>
      <c r="O74" s="190">
        <v>1090</v>
      </c>
      <c r="P74" s="169" t="s">
        <v>455</v>
      </c>
      <c r="Q74" s="136" t="s">
        <v>456</v>
      </c>
      <c r="R74" s="223" t="s">
        <v>457</v>
      </c>
      <c r="S74" s="173" t="s">
        <v>445</v>
      </c>
      <c r="T74" s="134" t="s">
        <v>363</v>
      </c>
      <c r="U74" s="133" t="s">
        <v>265</v>
      </c>
      <c r="V74" s="133" t="s">
        <v>266</v>
      </c>
    </row>
    <row r="75" spans="1:28" ht="66.75">
      <c r="A75" s="133" t="s">
        <v>313</v>
      </c>
      <c r="B75" s="274" t="s">
        <v>314</v>
      </c>
      <c r="C75" s="133" t="s">
        <v>427</v>
      </c>
      <c r="D75" s="133" t="s">
        <v>458</v>
      </c>
      <c r="E75" s="134" t="s">
        <v>459</v>
      </c>
      <c r="F75" s="133" t="s">
        <v>460</v>
      </c>
      <c r="G75" s="133" t="s">
        <v>461</v>
      </c>
      <c r="H75" s="133" t="s">
        <v>31</v>
      </c>
      <c r="I75" s="133" t="s">
        <v>343</v>
      </c>
      <c r="J75" s="177" t="s">
        <v>335</v>
      </c>
      <c r="K75" s="175" t="s">
        <v>462</v>
      </c>
      <c r="L75" s="175" t="s">
        <v>454</v>
      </c>
      <c r="M75" s="175" t="s">
        <v>256</v>
      </c>
      <c r="N75" s="190">
        <f t="shared" ref="N75:N76" si="2">O75*12</f>
        <v>18694.920000000002</v>
      </c>
      <c r="O75" s="190">
        <v>1557.91</v>
      </c>
      <c r="P75" s="169"/>
      <c r="Q75" s="136" t="s">
        <v>456</v>
      </c>
      <c r="R75" s="173" t="s">
        <v>436</v>
      </c>
      <c r="S75" s="173" t="s">
        <v>445</v>
      </c>
      <c r="T75" s="134" t="s">
        <v>363</v>
      </c>
      <c r="U75" s="133" t="s">
        <v>265</v>
      </c>
      <c r="V75" s="133" t="s">
        <v>266</v>
      </c>
    </row>
    <row r="76" spans="1:28" ht="83.25">
      <c r="A76" s="133" t="s">
        <v>313</v>
      </c>
      <c r="B76" s="274" t="s">
        <v>314</v>
      </c>
      <c r="C76" s="133" t="s">
        <v>427</v>
      </c>
      <c r="D76" s="133" t="s">
        <v>458</v>
      </c>
      <c r="E76" s="134" t="s">
        <v>459</v>
      </c>
      <c r="F76" s="133" t="s">
        <v>463</v>
      </c>
      <c r="G76" s="133" t="s">
        <v>461</v>
      </c>
      <c r="H76" s="133" t="s">
        <v>31</v>
      </c>
      <c r="I76" s="133" t="s">
        <v>357</v>
      </c>
      <c r="J76" s="177" t="s">
        <v>335</v>
      </c>
      <c r="K76" s="175" t="s">
        <v>462</v>
      </c>
      <c r="L76" s="175" t="s">
        <v>454</v>
      </c>
      <c r="M76" s="175" t="s">
        <v>256</v>
      </c>
      <c r="N76" s="190">
        <f t="shared" si="2"/>
        <v>27694.92</v>
      </c>
      <c r="O76" s="190">
        <v>2307.91</v>
      </c>
      <c r="P76" s="169"/>
      <c r="Q76" s="134" t="s">
        <v>464</v>
      </c>
      <c r="R76" s="134" t="s">
        <v>465</v>
      </c>
      <c r="S76" s="173" t="s">
        <v>445</v>
      </c>
      <c r="T76" s="134" t="s">
        <v>363</v>
      </c>
      <c r="U76" s="133" t="s">
        <v>265</v>
      </c>
      <c r="V76" s="133" t="s">
        <v>266</v>
      </c>
    </row>
    <row r="77" spans="1:28" ht="16.5">
      <c r="A77" s="138"/>
      <c r="B77" s="274" t="s">
        <v>314</v>
      </c>
      <c r="C77" s="138" t="s">
        <v>427</v>
      </c>
      <c r="D77" s="138" t="s">
        <v>466</v>
      </c>
      <c r="E77" s="139" t="s">
        <v>467</v>
      </c>
      <c r="F77" s="138" t="s">
        <v>468</v>
      </c>
      <c r="G77" s="133" t="str">
        <f t="shared" si="1"/>
        <v>mid-lx-dgt-01</v>
      </c>
      <c r="H77" s="138" t="s">
        <v>333</v>
      </c>
      <c r="I77" s="138" t="s">
        <v>334</v>
      </c>
      <c r="J77" s="183" t="s">
        <v>469</v>
      </c>
      <c r="K77" s="183"/>
      <c r="L77" s="183" t="s">
        <v>407</v>
      </c>
      <c r="M77" s="175" t="s">
        <v>256</v>
      </c>
      <c r="N77" s="181"/>
      <c r="O77" s="181"/>
      <c r="P77" s="164"/>
      <c r="Q77" s="138"/>
      <c r="R77" s="139"/>
      <c r="S77" s="139"/>
      <c r="T77" s="134" t="s">
        <v>363</v>
      </c>
      <c r="U77" s="155" t="s">
        <v>257</v>
      </c>
      <c r="V77" s="155" t="s">
        <v>258</v>
      </c>
      <c r="W77" s="155"/>
    </row>
    <row r="78" spans="1:28" ht="66.75">
      <c r="A78" s="133" t="s">
        <v>313</v>
      </c>
      <c r="B78" s="274" t="s">
        <v>314</v>
      </c>
      <c r="C78" s="133" t="s">
        <v>427</v>
      </c>
      <c r="D78" s="133" t="s">
        <v>470</v>
      </c>
      <c r="E78" s="134" t="s">
        <v>471</v>
      </c>
      <c r="F78" s="133" t="s">
        <v>472</v>
      </c>
      <c r="G78" s="133" t="str">
        <f t="shared" si="1"/>
        <v>mid-lx-mtc-01</v>
      </c>
      <c r="H78" s="133" t="s">
        <v>473</v>
      </c>
      <c r="I78" s="133" t="s">
        <v>474</v>
      </c>
      <c r="J78" s="175" t="s">
        <v>475</v>
      </c>
      <c r="K78" s="175" t="s">
        <v>476</v>
      </c>
      <c r="L78" s="175" t="s">
        <v>366</v>
      </c>
      <c r="M78" s="175" t="s">
        <v>256</v>
      </c>
      <c r="N78" s="190">
        <f t="shared" ref="N78:N79" si="3">O78*12</f>
        <v>48000</v>
      </c>
      <c r="O78" s="190">
        <v>4000</v>
      </c>
      <c r="P78" s="163"/>
      <c r="Q78" s="134" t="s">
        <v>477</v>
      </c>
      <c r="R78" s="134" t="s">
        <v>478</v>
      </c>
      <c r="S78" s="173" t="s">
        <v>445</v>
      </c>
      <c r="T78" s="134" t="s">
        <v>363</v>
      </c>
      <c r="U78" s="133" t="s">
        <v>265</v>
      </c>
      <c r="V78" s="133" t="s">
        <v>266</v>
      </c>
    </row>
    <row r="79" spans="1:28" ht="66.75">
      <c r="A79" s="133" t="s">
        <v>313</v>
      </c>
      <c r="B79" s="274" t="s">
        <v>314</v>
      </c>
      <c r="C79" s="133" t="s">
        <v>427</v>
      </c>
      <c r="D79" s="133" t="s">
        <v>470</v>
      </c>
      <c r="E79" s="134" t="s">
        <v>471</v>
      </c>
      <c r="F79" s="133" t="s">
        <v>479</v>
      </c>
      <c r="G79" s="133" t="str">
        <f t="shared" si="1"/>
        <v>mid-lx-mtc-01</v>
      </c>
      <c r="H79" s="133" t="s">
        <v>333</v>
      </c>
      <c r="I79" s="133" t="s">
        <v>380</v>
      </c>
      <c r="J79" s="175" t="s">
        <v>475</v>
      </c>
      <c r="K79" s="175" t="s">
        <v>476</v>
      </c>
      <c r="L79" s="175" t="s">
        <v>366</v>
      </c>
      <c r="M79" s="175" t="s">
        <v>256</v>
      </c>
      <c r="N79" s="190">
        <f t="shared" si="3"/>
        <v>24000</v>
      </c>
      <c r="O79" s="190">
        <v>2000</v>
      </c>
      <c r="P79" s="163" t="s">
        <v>480</v>
      </c>
      <c r="Q79" s="134" t="s">
        <v>477</v>
      </c>
      <c r="R79" s="134" t="s">
        <v>478</v>
      </c>
      <c r="S79" s="173" t="s">
        <v>445</v>
      </c>
      <c r="T79" s="134" t="s">
        <v>363</v>
      </c>
      <c r="U79" s="133" t="s">
        <v>265</v>
      </c>
      <c r="V79" s="133" t="s">
        <v>266</v>
      </c>
    </row>
    <row r="80" spans="1:28" ht="66.75">
      <c r="A80" s="133" t="s">
        <v>313</v>
      </c>
      <c r="B80" s="274" t="s">
        <v>314</v>
      </c>
      <c r="C80" s="133" t="s">
        <v>427</v>
      </c>
      <c r="D80" s="133" t="s">
        <v>470</v>
      </c>
      <c r="E80" s="134" t="s">
        <v>471</v>
      </c>
      <c r="F80" s="133" t="s">
        <v>481</v>
      </c>
      <c r="G80" s="133" t="str">
        <f t="shared" si="1"/>
        <v>mid-lx-mtc-01</v>
      </c>
      <c r="H80" s="133" t="s">
        <v>333</v>
      </c>
      <c r="I80" s="133" t="s">
        <v>334</v>
      </c>
      <c r="J80" s="175" t="s">
        <v>475</v>
      </c>
      <c r="K80" s="175" t="s">
        <v>476</v>
      </c>
      <c r="L80" s="175" t="s">
        <v>366</v>
      </c>
      <c r="M80" s="175" t="s">
        <v>256</v>
      </c>
      <c r="N80" s="190">
        <f>O80*12</f>
        <v>12000</v>
      </c>
      <c r="O80" s="190">
        <v>1000</v>
      </c>
      <c r="P80" s="163" t="s">
        <v>480</v>
      </c>
      <c r="Q80" s="134" t="s">
        <v>477</v>
      </c>
      <c r="R80" s="134" t="s">
        <v>478</v>
      </c>
      <c r="S80" s="173" t="s">
        <v>445</v>
      </c>
      <c r="T80" s="134" t="s">
        <v>363</v>
      </c>
      <c r="U80" s="133" t="s">
        <v>265</v>
      </c>
      <c r="V80" s="133" t="s">
        <v>266</v>
      </c>
    </row>
    <row r="81" spans="1:23" ht="16.5">
      <c r="A81" s="200" t="s">
        <v>426</v>
      </c>
      <c r="B81" s="274" t="s">
        <v>314</v>
      </c>
      <c r="C81" s="200" t="s">
        <v>427</v>
      </c>
      <c r="D81" s="200" t="s">
        <v>438</v>
      </c>
      <c r="E81" s="200" t="s">
        <v>482</v>
      </c>
      <c r="F81" s="200" t="s">
        <v>483</v>
      </c>
      <c r="G81" s="200" t="str">
        <f t="shared" si="1"/>
        <v>com-lx-dgt-01</v>
      </c>
      <c r="H81" s="200" t="s">
        <v>333</v>
      </c>
      <c r="I81" s="200" t="s">
        <v>334</v>
      </c>
      <c r="J81" s="200" t="s">
        <v>441</v>
      </c>
      <c r="K81" s="200" t="s">
        <v>484</v>
      </c>
      <c r="L81" s="200" t="s">
        <v>485</v>
      </c>
      <c r="M81" s="175" t="s">
        <v>256</v>
      </c>
      <c r="N81" s="200">
        <v>6000</v>
      </c>
      <c r="O81" s="200">
        <v>500</v>
      </c>
      <c r="P81" s="200"/>
      <c r="Q81" s="200" t="s">
        <v>435</v>
      </c>
      <c r="R81" s="200" t="s">
        <v>444</v>
      </c>
      <c r="S81" s="200"/>
      <c r="T81" s="134" t="s">
        <v>363</v>
      </c>
      <c r="U81" s="155" t="s">
        <v>257</v>
      </c>
      <c r="V81" s="155" t="s">
        <v>258</v>
      </c>
      <c r="W81" s="200" t="s">
        <v>486</v>
      </c>
    </row>
    <row r="82" spans="1:23" ht="16.5">
      <c r="A82" s="133" t="s">
        <v>412</v>
      </c>
      <c r="B82" s="274" t="s">
        <v>314</v>
      </c>
      <c r="C82" s="133" t="s">
        <v>427</v>
      </c>
      <c r="D82" s="133" t="s">
        <v>345</v>
      </c>
      <c r="F82" s="133" t="s">
        <v>487</v>
      </c>
      <c r="G82" s="133" t="s">
        <v>488</v>
      </c>
      <c r="H82" s="133" t="s">
        <v>333</v>
      </c>
      <c r="I82" s="133" t="s">
        <v>489</v>
      </c>
      <c r="J82" s="177" t="s">
        <v>490</v>
      </c>
      <c r="L82" s="183" t="s">
        <v>407</v>
      </c>
      <c r="M82" s="175" t="s">
        <v>256</v>
      </c>
      <c r="N82" s="190">
        <v>1800</v>
      </c>
      <c r="O82" s="190">
        <v>150</v>
      </c>
      <c r="P82" s="163"/>
      <c r="Q82" s="134"/>
      <c r="T82" s="134" t="s">
        <v>363</v>
      </c>
      <c r="U82" s="133" t="s">
        <v>265</v>
      </c>
      <c r="V82" s="133" t="s">
        <v>266</v>
      </c>
    </row>
    <row r="83" spans="1:23" s="200" customFormat="1" ht="16.5">
      <c r="A83" s="200" t="s">
        <v>412</v>
      </c>
      <c r="B83" s="274" t="s">
        <v>314</v>
      </c>
      <c r="C83" s="200" t="s">
        <v>427</v>
      </c>
      <c r="E83" s="202"/>
      <c r="F83" s="200" t="s">
        <v>491</v>
      </c>
      <c r="G83" s="200" t="s">
        <v>488</v>
      </c>
      <c r="H83" s="200" t="s">
        <v>333</v>
      </c>
      <c r="I83" s="200" t="s">
        <v>489</v>
      </c>
      <c r="J83" s="203" t="s">
        <v>489</v>
      </c>
      <c r="K83" s="203"/>
      <c r="L83" s="183" t="s">
        <v>407</v>
      </c>
      <c r="M83" s="175" t="s">
        <v>256</v>
      </c>
      <c r="N83" s="195">
        <v>1800</v>
      </c>
      <c r="O83" s="195">
        <v>150</v>
      </c>
      <c r="P83" s="204"/>
      <c r="R83" s="202"/>
      <c r="S83" s="202"/>
      <c r="T83" s="134" t="s">
        <v>363</v>
      </c>
      <c r="U83" s="155" t="s">
        <v>257</v>
      </c>
      <c r="V83" s="155" t="s">
        <v>258</v>
      </c>
      <c r="W83" s="205"/>
    </row>
    <row r="84" spans="1:23" ht="66.75">
      <c r="A84" s="133" t="s">
        <v>313</v>
      </c>
      <c r="B84" s="274" t="s">
        <v>226</v>
      </c>
      <c r="C84" s="133" t="s">
        <v>492</v>
      </c>
      <c r="D84" s="133" t="s">
        <v>493</v>
      </c>
      <c r="E84" s="134" t="s">
        <v>494</v>
      </c>
      <c r="F84" s="133" t="s">
        <v>495</v>
      </c>
      <c r="G84" s="133" t="str">
        <f t="shared" si="1"/>
        <v>mid-lx-uxd-01</v>
      </c>
      <c r="H84" s="133" t="s">
        <v>333</v>
      </c>
      <c r="I84" s="133" t="s">
        <v>365</v>
      </c>
      <c r="J84" s="177" t="s">
        <v>496</v>
      </c>
      <c r="K84" s="175" t="s">
        <v>497</v>
      </c>
      <c r="L84" s="175" t="s">
        <v>498</v>
      </c>
      <c r="M84" s="175" t="s">
        <v>256</v>
      </c>
      <c r="N84" s="190">
        <v>480</v>
      </c>
      <c r="O84" s="190">
        <v>40</v>
      </c>
      <c r="P84" s="169"/>
      <c r="Q84" s="136" t="s">
        <v>499</v>
      </c>
      <c r="R84" s="134" t="s">
        <v>500</v>
      </c>
      <c r="T84" s="134" t="s">
        <v>501</v>
      </c>
      <c r="U84" s="133" t="s">
        <v>265</v>
      </c>
      <c r="V84" s="133" t="s">
        <v>266</v>
      </c>
    </row>
    <row r="85" spans="1:23" ht="66.75">
      <c r="A85" s="133" t="s">
        <v>313</v>
      </c>
      <c r="B85" s="274" t="s">
        <v>226</v>
      </c>
      <c r="C85" s="133" t="s">
        <v>492</v>
      </c>
      <c r="D85" s="133" t="s">
        <v>493</v>
      </c>
      <c r="E85" s="134" t="s">
        <v>494</v>
      </c>
      <c r="F85" s="133" t="s">
        <v>502</v>
      </c>
      <c r="G85" s="133" t="str">
        <f t="shared" si="1"/>
        <v>mid-lx-uxd-01</v>
      </c>
      <c r="H85" s="133" t="s">
        <v>333</v>
      </c>
      <c r="I85" s="133" t="s">
        <v>380</v>
      </c>
      <c r="J85" s="177" t="s">
        <v>496</v>
      </c>
      <c r="K85" s="175" t="s">
        <v>497</v>
      </c>
      <c r="L85" s="175" t="s">
        <v>498</v>
      </c>
      <c r="M85" s="175" t="s">
        <v>256</v>
      </c>
      <c r="N85" s="190">
        <v>480</v>
      </c>
      <c r="O85" s="190">
        <v>40</v>
      </c>
      <c r="P85" s="169"/>
      <c r="Q85" s="136" t="s">
        <v>499</v>
      </c>
      <c r="R85" s="134" t="s">
        <v>500</v>
      </c>
      <c r="T85" s="134" t="s">
        <v>501</v>
      </c>
      <c r="U85" s="133" t="s">
        <v>265</v>
      </c>
      <c r="V85" s="133" t="s">
        <v>266</v>
      </c>
    </row>
    <row r="86" spans="1:23" ht="83.25">
      <c r="A86" s="133" t="s">
        <v>313</v>
      </c>
      <c r="B86" s="274" t="s">
        <v>226</v>
      </c>
      <c r="C86" s="133" t="s">
        <v>492</v>
      </c>
      <c r="D86" s="133" t="s">
        <v>493</v>
      </c>
      <c r="E86" s="134" t="s">
        <v>494</v>
      </c>
      <c r="F86" s="133" t="s">
        <v>503</v>
      </c>
      <c r="G86" s="133" t="str">
        <f t="shared" si="1"/>
        <v>mid-lx-uxd-01</v>
      </c>
      <c r="H86" s="133" t="s">
        <v>333</v>
      </c>
      <c r="I86" s="133" t="s">
        <v>334</v>
      </c>
      <c r="J86" s="177" t="s">
        <v>496</v>
      </c>
      <c r="K86" s="175" t="s">
        <v>497</v>
      </c>
      <c r="L86" s="175" t="s">
        <v>498</v>
      </c>
      <c r="M86" s="175" t="s">
        <v>256</v>
      </c>
      <c r="N86" s="190">
        <v>1080</v>
      </c>
      <c r="O86" s="190">
        <v>90</v>
      </c>
      <c r="P86" s="169"/>
      <c r="Q86" s="136" t="s">
        <v>499</v>
      </c>
      <c r="R86" s="134" t="s">
        <v>500</v>
      </c>
      <c r="S86" s="173" t="s">
        <v>504</v>
      </c>
      <c r="T86" s="134" t="s">
        <v>501</v>
      </c>
      <c r="U86" s="133" t="s">
        <v>265</v>
      </c>
      <c r="V86" s="133" t="s">
        <v>266</v>
      </c>
      <c r="W86" s="153" t="s">
        <v>505</v>
      </c>
    </row>
    <row r="87" spans="1:23" ht="66.75">
      <c r="A87" s="133" t="s">
        <v>313</v>
      </c>
      <c r="B87" s="274" t="s">
        <v>226</v>
      </c>
      <c r="C87" s="133" t="s">
        <v>506</v>
      </c>
      <c r="D87" s="133" t="s">
        <v>507</v>
      </c>
      <c r="E87" s="134" t="s">
        <v>508</v>
      </c>
      <c r="F87" s="133" t="s">
        <v>509</v>
      </c>
      <c r="G87" s="133" t="str">
        <f t="shared" si="1"/>
        <v>gai-cp-isd-01</v>
      </c>
      <c r="H87" s="133" t="s">
        <v>333</v>
      </c>
      <c r="I87" s="133" t="s">
        <v>380</v>
      </c>
      <c r="J87" s="177" t="s">
        <v>510</v>
      </c>
      <c r="K87" s="175" t="s">
        <v>511</v>
      </c>
      <c r="L87" s="175" t="s">
        <v>512</v>
      </c>
      <c r="M87" s="175" t="s">
        <v>338</v>
      </c>
      <c r="N87" s="190">
        <v>3500</v>
      </c>
      <c r="O87" s="190">
        <v>500</v>
      </c>
      <c r="P87" s="169"/>
      <c r="Q87" s="136" t="s">
        <v>513</v>
      </c>
      <c r="R87" s="134" t="s">
        <v>514</v>
      </c>
      <c r="S87" s="173" t="s">
        <v>515</v>
      </c>
      <c r="T87" s="134" t="s">
        <v>501</v>
      </c>
      <c r="U87" s="133" t="s">
        <v>265</v>
      </c>
      <c r="V87" s="133" t="s">
        <v>266</v>
      </c>
      <c r="W87" s="153" t="s">
        <v>516</v>
      </c>
    </row>
    <row r="88" spans="1:23" ht="66.75">
      <c r="A88" s="133" t="s">
        <v>313</v>
      </c>
      <c r="B88" s="274" t="s">
        <v>226</v>
      </c>
      <c r="C88" s="133" t="s">
        <v>506</v>
      </c>
      <c r="D88" s="133" t="s">
        <v>507</v>
      </c>
      <c r="E88" s="134" t="s">
        <v>508</v>
      </c>
      <c r="F88" s="133" t="s">
        <v>517</v>
      </c>
      <c r="G88" s="133" t="str">
        <f t="shared" si="1"/>
        <v>gai-cp-isd-01</v>
      </c>
      <c r="H88" s="133" t="s">
        <v>333</v>
      </c>
      <c r="I88" s="133" t="s">
        <v>334</v>
      </c>
      <c r="J88" s="177" t="s">
        <v>510</v>
      </c>
      <c r="K88" s="175" t="s">
        <v>511</v>
      </c>
      <c r="L88" s="175" t="s">
        <v>512</v>
      </c>
      <c r="M88" s="175" t="s">
        <v>338</v>
      </c>
      <c r="N88" s="190">
        <f>O88*12</f>
        <v>4800</v>
      </c>
      <c r="O88" s="190">
        <v>400</v>
      </c>
      <c r="P88" s="169"/>
      <c r="Q88" s="136" t="s">
        <v>513</v>
      </c>
      <c r="R88" s="134" t="s">
        <v>514</v>
      </c>
      <c r="S88" s="173" t="s">
        <v>515</v>
      </c>
      <c r="T88" s="134" t="s">
        <v>501</v>
      </c>
      <c r="U88" s="133" t="s">
        <v>265</v>
      </c>
      <c r="V88" s="133" t="s">
        <v>266</v>
      </c>
      <c r="W88" s="153" t="s">
        <v>518</v>
      </c>
    </row>
    <row r="89" spans="1:23" ht="66.75">
      <c r="A89" s="133" t="s">
        <v>313</v>
      </c>
      <c r="B89" s="274" t="s">
        <v>226</v>
      </c>
      <c r="C89" s="133" t="s">
        <v>519</v>
      </c>
      <c r="D89" s="133" t="s">
        <v>520</v>
      </c>
      <c r="E89" s="134" t="s">
        <v>521</v>
      </c>
      <c r="F89" s="133" t="s">
        <v>522</v>
      </c>
      <c r="G89" s="133" t="str">
        <f t="shared" si="1"/>
        <v>otr-lx-its-01</v>
      </c>
      <c r="H89" s="133" t="s">
        <v>333</v>
      </c>
      <c r="I89" s="133" t="s">
        <v>365</v>
      </c>
      <c r="J89" s="177" t="s">
        <v>523</v>
      </c>
      <c r="K89" s="175" t="s">
        <v>524</v>
      </c>
      <c r="L89" s="175" t="s">
        <v>525</v>
      </c>
      <c r="M89" s="175" t="s">
        <v>256</v>
      </c>
      <c r="N89" s="190">
        <v>12000</v>
      </c>
      <c r="O89" s="190">
        <v>1000</v>
      </c>
      <c r="P89" s="169"/>
      <c r="Q89" s="136" t="s">
        <v>526</v>
      </c>
      <c r="R89" s="134" t="s">
        <v>527</v>
      </c>
      <c r="S89" s="173"/>
      <c r="T89" s="134" t="s">
        <v>528</v>
      </c>
      <c r="U89" s="133" t="s">
        <v>265</v>
      </c>
      <c r="V89" s="133" t="s">
        <v>266</v>
      </c>
      <c r="W89" s="153" t="s">
        <v>529</v>
      </c>
    </row>
    <row r="90" spans="1:23" ht="66.75">
      <c r="A90" s="133" t="s">
        <v>313</v>
      </c>
      <c r="B90" s="274" t="s">
        <v>226</v>
      </c>
      <c r="C90" s="133" t="s">
        <v>519</v>
      </c>
      <c r="D90" s="133" t="s">
        <v>520</v>
      </c>
      <c r="E90" s="134" t="s">
        <v>521</v>
      </c>
      <c r="F90" s="133" t="s">
        <v>530</v>
      </c>
      <c r="G90" s="133" t="str">
        <f t="shared" si="1"/>
        <v>otr-lx-its-01</v>
      </c>
      <c r="H90" s="133" t="s">
        <v>333</v>
      </c>
      <c r="I90" s="133" t="s">
        <v>380</v>
      </c>
      <c r="J90" s="177" t="s">
        <v>531</v>
      </c>
      <c r="K90" s="175" t="s">
        <v>524</v>
      </c>
      <c r="L90" s="175" t="s">
        <v>525</v>
      </c>
      <c r="M90" s="175" t="s">
        <v>256</v>
      </c>
      <c r="N90" s="190">
        <v>12000</v>
      </c>
      <c r="O90" s="190">
        <v>1000</v>
      </c>
      <c r="P90" s="169"/>
      <c r="Q90" s="136" t="s">
        <v>526</v>
      </c>
      <c r="R90" s="134" t="s">
        <v>527</v>
      </c>
      <c r="S90" s="173"/>
      <c r="T90" s="134" t="s">
        <v>528</v>
      </c>
      <c r="U90" s="133" t="s">
        <v>265</v>
      </c>
      <c r="V90" s="133" t="s">
        <v>266</v>
      </c>
      <c r="W90" s="153" t="s">
        <v>529</v>
      </c>
    </row>
    <row r="91" spans="1:23" ht="66.75">
      <c r="A91" s="133" t="s">
        <v>313</v>
      </c>
      <c r="B91" s="274" t="s">
        <v>226</v>
      </c>
      <c r="C91" s="133" t="s">
        <v>519</v>
      </c>
      <c r="D91" s="133" t="s">
        <v>520</v>
      </c>
      <c r="E91" s="134" t="s">
        <v>521</v>
      </c>
      <c r="F91" s="133" t="s">
        <v>532</v>
      </c>
      <c r="G91" s="133" t="str">
        <f t="shared" si="1"/>
        <v>otr-lx-its-01</v>
      </c>
      <c r="H91" s="133" t="s">
        <v>333</v>
      </c>
      <c r="I91" s="133" t="s">
        <v>334</v>
      </c>
      <c r="J91" s="177" t="s">
        <v>531</v>
      </c>
      <c r="K91" s="175" t="s">
        <v>524</v>
      </c>
      <c r="L91" s="175" t="s">
        <v>525</v>
      </c>
      <c r="M91" s="175" t="s">
        <v>256</v>
      </c>
      <c r="N91" s="190">
        <v>12000</v>
      </c>
      <c r="O91" s="190">
        <v>1000</v>
      </c>
      <c r="P91" s="169"/>
      <c r="Q91" s="136" t="s">
        <v>526</v>
      </c>
      <c r="R91" s="134" t="s">
        <v>527</v>
      </c>
      <c r="S91" s="173"/>
      <c r="T91" s="134" t="s">
        <v>528</v>
      </c>
      <c r="U91" s="133" t="s">
        <v>265</v>
      </c>
      <c r="V91" s="133" t="s">
        <v>266</v>
      </c>
      <c r="W91" s="153" t="s">
        <v>529</v>
      </c>
    </row>
    <row r="92" spans="1:23" ht="66.75">
      <c r="A92" s="133" t="s">
        <v>412</v>
      </c>
      <c r="B92" s="274" t="s">
        <v>226</v>
      </c>
      <c r="C92" s="133" t="s">
        <v>519</v>
      </c>
      <c r="D92" s="133" t="s">
        <v>533</v>
      </c>
      <c r="E92" s="134" t="s">
        <v>534</v>
      </c>
      <c r="F92" s="133" t="s">
        <v>535</v>
      </c>
      <c r="G92" s="133" t="str">
        <f t="shared" si="1"/>
        <v>dw-adfs-lab</v>
      </c>
      <c r="H92" s="133" t="s">
        <v>333</v>
      </c>
      <c r="I92" s="133" t="s">
        <v>489</v>
      </c>
      <c r="J92" s="177" t="s">
        <v>536</v>
      </c>
      <c r="K92" s="175" t="s">
        <v>537</v>
      </c>
      <c r="M92" s="175" t="s">
        <v>256</v>
      </c>
      <c r="N92" s="190">
        <v>12000</v>
      </c>
      <c r="O92" s="190">
        <v>1000</v>
      </c>
      <c r="P92" s="163"/>
      <c r="Q92" s="136" t="s">
        <v>526</v>
      </c>
      <c r="R92" s="134" t="s">
        <v>527</v>
      </c>
      <c r="S92" s="173" t="s">
        <v>538</v>
      </c>
      <c r="T92" s="134" t="s">
        <v>528</v>
      </c>
      <c r="U92" s="133" t="s">
        <v>265</v>
      </c>
      <c r="V92" s="133" t="s">
        <v>266</v>
      </c>
      <c r="W92" s="153" t="s">
        <v>529</v>
      </c>
    </row>
    <row r="93" spans="1:23" ht="81.75" customHeight="1">
      <c r="A93" s="133" t="s">
        <v>426</v>
      </c>
      <c r="B93" s="274" t="s">
        <v>226</v>
      </c>
      <c r="C93" s="133" t="s">
        <v>539</v>
      </c>
      <c r="D93" s="133" t="s">
        <v>540</v>
      </c>
      <c r="E93" s="134" t="s">
        <v>541</v>
      </c>
      <c r="F93" s="133" t="s">
        <v>542</v>
      </c>
      <c r="G93" s="133" t="str">
        <f t="shared" si="1"/>
        <v>com-cp-api-01</v>
      </c>
      <c r="H93" s="133" t="s">
        <v>333</v>
      </c>
      <c r="I93" s="133" t="s">
        <v>334</v>
      </c>
      <c r="J93" s="177" t="s">
        <v>543</v>
      </c>
      <c r="K93" s="175" t="s">
        <v>485</v>
      </c>
      <c r="L93" s="175" t="s">
        <v>485</v>
      </c>
      <c r="M93" s="175" t="s">
        <v>256</v>
      </c>
      <c r="N93" s="190">
        <v>7200</v>
      </c>
      <c r="O93" s="190">
        <v>500</v>
      </c>
      <c r="P93" s="169" t="s">
        <v>544</v>
      </c>
      <c r="Q93" s="134" t="s">
        <v>545</v>
      </c>
      <c r="R93" s="134" t="s">
        <v>546</v>
      </c>
      <c r="S93" s="255" t="s">
        <v>547</v>
      </c>
      <c r="T93" s="134" t="s">
        <v>528</v>
      </c>
      <c r="U93" s="133" t="s">
        <v>265</v>
      </c>
      <c r="V93" s="133" t="s">
        <v>266</v>
      </c>
    </row>
    <row r="94" spans="1:23" ht="66.75">
      <c r="A94" s="133" t="s">
        <v>548</v>
      </c>
      <c r="B94" s="274" t="s">
        <v>226</v>
      </c>
      <c r="C94" s="133" t="s">
        <v>539</v>
      </c>
      <c r="D94" s="133" t="s">
        <v>540</v>
      </c>
      <c r="E94" s="134" t="s">
        <v>549</v>
      </c>
      <c r="F94" s="133" t="s">
        <v>550</v>
      </c>
      <c r="G94" s="133" t="str">
        <f t="shared" si="1"/>
        <v>otr-cp-rms-01</v>
      </c>
      <c r="H94" s="133" t="s">
        <v>333</v>
      </c>
      <c r="I94" s="133" t="s">
        <v>334</v>
      </c>
      <c r="J94" s="177" t="s">
        <v>551</v>
      </c>
      <c r="K94" s="175" t="s">
        <v>552</v>
      </c>
      <c r="L94" s="175" t="s">
        <v>553</v>
      </c>
      <c r="M94" s="175" t="s">
        <v>256</v>
      </c>
      <c r="N94" s="190">
        <v>2400</v>
      </c>
      <c r="O94" s="190">
        <v>170</v>
      </c>
      <c r="P94" s="243" t="s">
        <v>554</v>
      </c>
      <c r="Q94" s="136" t="s">
        <v>555</v>
      </c>
      <c r="R94" s="134" t="s">
        <v>556</v>
      </c>
      <c r="S94" s="255" t="s">
        <v>547</v>
      </c>
      <c r="T94" s="134" t="s">
        <v>528</v>
      </c>
      <c r="U94" s="133" t="s">
        <v>265</v>
      </c>
      <c r="V94" s="133" t="s">
        <v>266</v>
      </c>
    </row>
    <row r="95" spans="1:23" ht="66.75">
      <c r="A95" s="133" t="s">
        <v>313</v>
      </c>
      <c r="B95" s="274" t="s">
        <v>226</v>
      </c>
      <c r="C95" s="133" t="s">
        <v>539</v>
      </c>
      <c r="D95" s="133" t="s">
        <v>557</v>
      </c>
      <c r="E95" s="134" t="s">
        <v>558</v>
      </c>
      <c r="F95" s="133" t="s">
        <v>559</v>
      </c>
      <c r="G95" s="133" t="str">
        <f t="shared" si="1"/>
        <v>otr-nt-pim-01</v>
      </c>
      <c r="H95" s="133" t="s">
        <v>333</v>
      </c>
      <c r="I95" s="133" t="s">
        <v>365</v>
      </c>
      <c r="J95" s="177" t="s">
        <v>560</v>
      </c>
      <c r="K95" s="175" t="s">
        <v>561</v>
      </c>
      <c r="L95" s="175" t="s">
        <v>397</v>
      </c>
      <c r="M95" s="175" t="s">
        <v>256</v>
      </c>
      <c r="N95" s="190">
        <v>3840</v>
      </c>
      <c r="O95" s="190">
        <v>400</v>
      </c>
      <c r="P95" s="169" t="s">
        <v>544</v>
      </c>
      <c r="Q95" s="136" t="s">
        <v>562</v>
      </c>
      <c r="R95" s="134" t="s">
        <v>563</v>
      </c>
      <c r="S95" s="255" t="s">
        <v>547</v>
      </c>
      <c r="T95" s="134" t="s">
        <v>528</v>
      </c>
      <c r="U95" s="133" t="s">
        <v>265</v>
      </c>
      <c r="V95" s="133" t="s">
        <v>266</v>
      </c>
    </row>
    <row r="96" spans="1:23" ht="66.75">
      <c r="A96" s="133" t="s">
        <v>313</v>
      </c>
      <c r="B96" s="274" t="s">
        <v>226</v>
      </c>
      <c r="C96" s="133" t="s">
        <v>539</v>
      </c>
      <c r="D96" s="133" t="s">
        <v>557</v>
      </c>
      <c r="E96" s="134" t="s">
        <v>564</v>
      </c>
      <c r="F96" s="133" t="s">
        <v>565</v>
      </c>
      <c r="G96" s="133" t="str">
        <f t="shared" si="1"/>
        <v>otr-nt-pim-01</v>
      </c>
      <c r="H96" s="133" t="s">
        <v>333</v>
      </c>
      <c r="I96" s="133" t="s">
        <v>380</v>
      </c>
      <c r="J96" s="177" t="s">
        <v>560</v>
      </c>
      <c r="K96" s="175" t="s">
        <v>561</v>
      </c>
      <c r="L96" s="175" t="s">
        <v>397</v>
      </c>
      <c r="M96" s="175" t="s">
        <v>256</v>
      </c>
      <c r="N96" s="190">
        <v>1800</v>
      </c>
      <c r="O96" s="190">
        <v>250</v>
      </c>
      <c r="P96" s="169" t="s">
        <v>544</v>
      </c>
      <c r="Q96" s="136" t="s">
        <v>562</v>
      </c>
      <c r="R96" s="134" t="s">
        <v>563</v>
      </c>
      <c r="S96" s="255" t="s">
        <v>547</v>
      </c>
      <c r="T96" s="134" t="s">
        <v>528</v>
      </c>
      <c r="U96" s="133" t="s">
        <v>265</v>
      </c>
      <c r="V96" s="133" t="s">
        <v>266</v>
      </c>
    </row>
    <row r="97" spans="1:23" ht="66.75">
      <c r="A97" s="133" t="s">
        <v>313</v>
      </c>
      <c r="B97" s="274" t="s">
        <v>226</v>
      </c>
      <c r="C97" s="133" t="s">
        <v>539</v>
      </c>
      <c r="D97" s="133" t="s">
        <v>557</v>
      </c>
      <c r="E97" s="134" t="s">
        <v>564</v>
      </c>
      <c r="F97" s="133" t="s">
        <v>566</v>
      </c>
      <c r="G97" s="133" t="str">
        <f t="shared" si="1"/>
        <v>otr-nt-pim-01</v>
      </c>
      <c r="H97" s="133" t="s">
        <v>333</v>
      </c>
      <c r="I97" s="133" t="s">
        <v>334</v>
      </c>
      <c r="J97" s="177" t="s">
        <v>560</v>
      </c>
      <c r="K97" s="175" t="s">
        <v>561</v>
      </c>
      <c r="L97" s="175" t="s">
        <v>397</v>
      </c>
      <c r="M97" s="175" t="s">
        <v>256</v>
      </c>
      <c r="N97" s="190">
        <f>O97*12</f>
        <v>3600</v>
      </c>
      <c r="O97" s="190">
        <v>300</v>
      </c>
      <c r="P97" s="169" t="s">
        <v>544</v>
      </c>
      <c r="Q97" s="136" t="s">
        <v>562</v>
      </c>
      <c r="R97" s="134" t="s">
        <v>567</v>
      </c>
      <c r="S97" s="255" t="s">
        <v>547</v>
      </c>
      <c r="T97" s="134" t="s">
        <v>528</v>
      </c>
      <c r="U97" s="133" t="s">
        <v>265</v>
      </c>
      <c r="V97" s="133" t="s">
        <v>266</v>
      </c>
    </row>
    <row r="98" spans="1:23" ht="16.5">
      <c r="A98" s="138" t="s">
        <v>412</v>
      </c>
      <c r="B98" s="274" t="s">
        <v>226</v>
      </c>
      <c r="C98" s="138" t="s">
        <v>568</v>
      </c>
      <c r="D98" s="139" t="s">
        <v>540</v>
      </c>
      <c r="E98" s="139"/>
      <c r="F98" s="138" t="s">
        <v>569</v>
      </c>
      <c r="G98" s="133" t="s">
        <v>488</v>
      </c>
      <c r="H98" s="138" t="s">
        <v>333</v>
      </c>
      <c r="I98" s="138" t="s">
        <v>333</v>
      </c>
      <c r="J98" s="183" t="s">
        <v>469</v>
      </c>
      <c r="K98" s="183"/>
      <c r="L98" s="183" t="s">
        <v>407</v>
      </c>
      <c r="M98" s="175" t="s">
        <v>256</v>
      </c>
      <c r="N98" s="181">
        <v>1800</v>
      </c>
      <c r="O98" s="181">
        <v>150</v>
      </c>
      <c r="P98" s="171"/>
      <c r="Q98" s="138"/>
      <c r="R98" s="139"/>
      <c r="S98" s="155" t="s">
        <v>547</v>
      </c>
      <c r="T98" s="134" t="s">
        <v>528</v>
      </c>
      <c r="U98" s="155" t="s">
        <v>257</v>
      </c>
      <c r="V98" s="155" t="s">
        <v>258</v>
      </c>
      <c r="W98" s="155"/>
    </row>
    <row r="99" spans="1:23" ht="16.5">
      <c r="A99" s="133" t="s">
        <v>412</v>
      </c>
      <c r="B99" s="274" t="s">
        <v>226</v>
      </c>
      <c r="C99" s="133" t="s">
        <v>568</v>
      </c>
      <c r="D99" s="133" t="s">
        <v>570</v>
      </c>
      <c r="E99" s="134" t="s">
        <v>571</v>
      </c>
      <c r="F99" s="133" t="s">
        <v>572</v>
      </c>
      <c r="G99" s="133" t="s">
        <v>488</v>
      </c>
      <c r="H99" s="133" t="s">
        <v>333</v>
      </c>
      <c r="I99" s="133" t="s">
        <v>489</v>
      </c>
      <c r="J99" s="177" t="s">
        <v>490</v>
      </c>
      <c r="L99" s="183" t="s">
        <v>407</v>
      </c>
      <c r="M99" s="175" t="s">
        <v>256</v>
      </c>
      <c r="N99" s="190">
        <v>1800</v>
      </c>
      <c r="O99" s="190">
        <v>150</v>
      </c>
      <c r="P99" s="169"/>
      <c r="S99" s="255" t="s">
        <v>547</v>
      </c>
      <c r="T99" s="134" t="s">
        <v>528</v>
      </c>
      <c r="U99" s="133" t="s">
        <v>265</v>
      </c>
      <c r="V99" s="133" t="s">
        <v>266</v>
      </c>
    </row>
    <row r="100" spans="1:23" ht="33.75">
      <c r="A100" s="138" t="s">
        <v>426</v>
      </c>
      <c r="B100" s="274" t="s">
        <v>226</v>
      </c>
      <c r="C100" s="138" t="s">
        <v>568</v>
      </c>
      <c r="D100" s="139" t="s">
        <v>573</v>
      </c>
      <c r="E100" s="139" t="s">
        <v>574</v>
      </c>
      <c r="F100" s="138" t="s">
        <v>575</v>
      </c>
      <c r="G100" s="133" t="s">
        <v>488</v>
      </c>
      <c r="H100" s="138" t="s">
        <v>333</v>
      </c>
      <c r="I100" s="138" t="s">
        <v>334</v>
      </c>
      <c r="J100" s="183" t="s">
        <v>576</v>
      </c>
      <c r="K100" s="183" t="s">
        <v>553</v>
      </c>
      <c r="L100" s="183" t="s">
        <v>553</v>
      </c>
      <c r="M100" s="175" t="s">
        <v>256</v>
      </c>
      <c r="N100" s="181">
        <v>9600</v>
      </c>
      <c r="O100" s="181">
        <v>1200</v>
      </c>
      <c r="P100" s="171" t="s">
        <v>577</v>
      </c>
      <c r="Q100" s="138" t="s">
        <v>578</v>
      </c>
      <c r="R100" s="139" t="s">
        <v>556</v>
      </c>
      <c r="S100" s="155" t="s">
        <v>547</v>
      </c>
      <c r="T100" s="134" t="s">
        <v>528</v>
      </c>
      <c r="U100" s="155" t="s">
        <v>257</v>
      </c>
      <c r="V100" s="155" t="s">
        <v>258</v>
      </c>
      <c r="W100" s="155"/>
    </row>
    <row r="101" spans="1:23" ht="16.5">
      <c r="A101" s="146" t="s">
        <v>548</v>
      </c>
      <c r="B101" s="274" t="s">
        <v>226</v>
      </c>
      <c r="C101" s="146" t="s">
        <v>568</v>
      </c>
      <c r="D101" s="133" t="s">
        <v>540</v>
      </c>
      <c r="E101" s="147" t="s">
        <v>579</v>
      </c>
      <c r="F101" s="146" t="s">
        <v>580</v>
      </c>
      <c r="G101" s="133" t="s">
        <v>488</v>
      </c>
      <c r="H101" s="148" t="s">
        <v>31</v>
      </c>
      <c r="I101" s="146" t="s">
        <v>380</v>
      </c>
      <c r="J101" s="177" t="s">
        <v>581</v>
      </c>
      <c r="K101" s="176" t="s">
        <v>397</v>
      </c>
      <c r="L101" s="176" t="s">
        <v>397</v>
      </c>
      <c r="M101" s="175" t="s">
        <v>256</v>
      </c>
      <c r="N101" s="191">
        <f>O101*12</f>
        <v>5280</v>
      </c>
      <c r="O101" s="191">
        <v>440</v>
      </c>
      <c r="P101" s="169" t="s">
        <v>544</v>
      </c>
      <c r="Q101" s="146"/>
      <c r="R101" s="147"/>
      <c r="S101" s="250"/>
      <c r="T101" s="134" t="s">
        <v>528</v>
      </c>
      <c r="U101" s="133" t="s">
        <v>265</v>
      </c>
      <c r="V101" s="133" t="s">
        <v>266</v>
      </c>
      <c r="W101" s="156"/>
    </row>
    <row r="102" spans="1:23" ht="16.5">
      <c r="A102" s="133" t="s">
        <v>548</v>
      </c>
      <c r="B102" s="274" t="s">
        <v>226</v>
      </c>
      <c r="C102" s="133" t="s">
        <v>568</v>
      </c>
      <c r="D102" s="133" t="s">
        <v>540</v>
      </c>
      <c r="E102" s="134" t="s">
        <v>582</v>
      </c>
      <c r="F102" s="133" t="s">
        <v>583</v>
      </c>
      <c r="G102" s="133" t="s">
        <v>488</v>
      </c>
      <c r="H102" s="142" t="s">
        <v>31</v>
      </c>
      <c r="I102" s="133" t="s">
        <v>365</v>
      </c>
      <c r="J102" s="177" t="s">
        <v>581</v>
      </c>
      <c r="K102" s="175" t="s">
        <v>397</v>
      </c>
      <c r="L102" s="175" t="s">
        <v>397</v>
      </c>
      <c r="M102" s="175" t="s">
        <v>256</v>
      </c>
      <c r="N102" s="145">
        <f>O102*12</f>
        <v>5280</v>
      </c>
      <c r="O102" s="190">
        <v>440</v>
      </c>
      <c r="P102" s="169" t="s">
        <v>544</v>
      </c>
      <c r="S102" s="173"/>
      <c r="T102" s="134" t="s">
        <v>528</v>
      </c>
      <c r="U102" s="133" t="s">
        <v>265</v>
      </c>
      <c r="V102" s="133" t="s">
        <v>266</v>
      </c>
    </row>
    <row r="103" spans="1:23" ht="16.5">
      <c r="A103" s="133" t="s">
        <v>548</v>
      </c>
      <c r="B103" s="274" t="s">
        <v>226</v>
      </c>
      <c r="C103" s="133" t="s">
        <v>568</v>
      </c>
      <c r="D103" s="133" t="s">
        <v>540</v>
      </c>
      <c r="E103" s="134" t="s">
        <v>584</v>
      </c>
      <c r="F103" s="133" t="s">
        <v>585</v>
      </c>
      <c r="G103" s="133" t="s">
        <v>488</v>
      </c>
      <c r="H103" s="142" t="s">
        <v>31</v>
      </c>
      <c r="I103" s="133" t="s">
        <v>365</v>
      </c>
      <c r="J103" s="177" t="s">
        <v>586</v>
      </c>
      <c r="K103" s="175" t="s">
        <v>587</v>
      </c>
      <c r="L103" s="175" t="s">
        <v>587</v>
      </c>
      <c r="M103" s="175" t="s">
        <v>256</v>
      </c>
      <c r="N103" s="145">
        <f>O103*12</f>
        <v>240000</v>
      </c>
      <c r="O103" s="190">
        <v>20000</v>
      </c>
      <c r="P103" s="169" t="s">
        <v>544</v>
      </c>
      <c r="S103" s="173"/>
      <c r="T103" s="134" t="s">
        <v>528</v>
      </c>
      <c r="U103" s="133" t="s">
        <v>265</v>
      </c>
      <c r="V103" s="133" t="s">
        <v>266</v>
      </c>
    </row>
    <row r="104" spans="1:23" ht="16.5">
      <c r="A104" s="133" t="s">
        <v>548</v>
      </c>
      <c r="B104" s="274" t="s">
        <v>226</v>
      </c>
      <c r="C104" s="133" t="s">
        <v>568</v>
      </c>
      <c r="D104" s="133" t="s">
        <v>540</v>
      </c>
      <c r="E104" s="133" t="s">
        <v>588</v>
      </c>
      <c r="F104" s="133" t="s">
        <v>589</v>
      </c>
      <c r="G104" s="133" t="s">
        <v>488</v>
      </c>
      <c r="H104" s="142" t="s">
        <v>31</v>
      </c>
      <c r="I104" s="133" t="s">
        <v>365</v>
      </c>
      <c r="J104" s="208" t="s">
        <v>590</v>
      </c>
      <c r="K104" s="208" t="s">
        <v>590</v>
      </c>
      <c r="L104" s="208" t="s">
        <v>590</v>
      </c>
      <c r="M104" s="175" t="s">
        <v>256</v>
      </c>
      <c r="N104" s="206" t="s">
        <v>591</v>
      </c>
      <c r="O104" s="206"/>
      <c r="P104" s="207"/>
      <c r="Q104" s="208" t="s">
        <v>590</v>
      </c>
      <c r="R104" s="208" t="s">
        <v>590</v>
      </c>
      <c r="S104" s="251"/>
      <c r="T104" s="134" t="s">
        <v>528</v>
      </c>
      <c r="U104" s="133" t="s">
        <v>265</v>
      </c>
      <c r="V104" s="133" t="s">
        <v>266</v>
      </c>
    </row>
    <row r="105" spans="1:23" ht="16.5">
      <c r="A105" s="133" t="s">
        <v>548</v>
      </c>
      <c r="B105" s="274" t="s">
        <v>226</v>
      </c>
      <c r="C105" s="133" t="s">
        <v>568</v>
      </c>
      <c r="D105" s="133" t="s">
        <v>573</v>
      </c>
      <c r="E105" s="134" t="s">
        <v>592</v>
      </c>
      <c r="F105" s="133" t="s">
        <v>593</v>
      </c>
      <c r="G105" s="133" t="s">
        <v>488</v>
      </c>
      <c r="H105" s="142" t="s">
        <v>31</v>
      </c>
      <c r="I105" s="142" t="s">
        <v>31</v>
      </c>
      <c r="J105" s="177" t="s">
        <v>594</v>
      </c>
      <c r="K105" s="175" t="s">
        <v>512</v>
      </c>
      <c r="L105" s="175" t="s">
        <v>512</v>
      </c>
      <c r="M105" s="175" t="s">
        <v>256</v>
      </c>
      <c r="N105" s="145">
        <f>O105*12</f>
        <v>236090.88</v>
      </c>
      <c r="O105" s="192">
        <v>19674.240000000002</v>
      </c>
      <c r="P105" s="169" t="s">
        <v>595</v>
      </c>
      <c r="S105" s="173"/>
      <c r="T105" s="134" t="s">
        <v>528</v>
      </c>
      <c r="U105" s="133" t="s">
        <v>265</v>
      </c>
      <c r="V105" s="133" t="s">
        <v>266</v>
      </c>
    </row>
    <row r="106" spans="1:23" ht="16.5">
      <c r="A106" s="133" t="s">
        <v>548</v>
      </c>
      <c r="B106" s="274" t="s">
        <v>226</v>
      </c>
      <c r="C106" s="133" t="s">
        <v>568</v>
      </c>
      <c r="D106" s="133" t="s">
        <v>573</v>
      </c>
      <c r="E106" s="134" t="s">
        <v>596</v>
      </c>
      <c r="F106" s="134" t="s">
        <v>597</v>
      </c>
      <c r="G106" s="133" t="s">
        <v>488</v>
      </c>
      <c r="H106" s="142" t="s">
        <v>31</v>
      </c>
      <c r="I106" s="133" t="s">
        <v>365</v>
      </c>
      <c r="J106" s="177" t="s">
        <v>598</v>
      </c>
      <c r="K106" s="175" t="s">
        <v>421</v>
      </c>
      <c r="L106" s="175" t="s">
        <v>421</v>
      </c>
      <c r="M106" s="175" t="s">
        <v>256</v>
      </c>
      <c r="N106" s="145">
        <f>O106*12</f>
        <v>125520</v>
      </c>
      <c r="O106" s="192">
        <v>10460</v>
      </c>
      <c r="P106" s="169" t="s">
        <v>599</v>
      </c>
      <c r="S106" s="173"/>
      <c r="T106" s="134" t="s">
        <v>528</v>
      </c>
      <c r="U106" s="133" t="s">
        <v>265</v>
      </c>
      <c r="V106" s="133" t="s">
        <v>266</v>
      </c>
    </row>
    <row r="107" spans="1:23" ht="16.5">
      <c r="A107" s="133" t="s">
        <v>548</v>
      </c>
      <c r="B107" s="274" t="s">
        <v>226</v>
      </c>
      <c r="C107" s="133" t="s">
        <v>568</v>
      </c>
      <c r="D107" s="133" t="s">
        <v>573</v>
      </c>
      <c r="E107" s="134" t="s">
        <v>592</v>
      </c>
      <c r="F107" s="133" t="s">
        <v>600</v>
      </c>
      <c r="G107" s="133" t="s">
        <v>488</v>
      </c>
      <c r="H107" s="142" t="s">
        <v>31</v>
      </c>
      <c r="I107" s="133" t="s">
        <v>334</v>
      </c>
      <c r="J107" s="177" t="s">
        <v>594</v>
      </c>
      <c r="K107" s="175" t="s">
        <v>512</v>
      </c>
      <c r="L107" s="175" t="s">
        <v>512</v>
      </c>
      <c r="M107" s="175" t="s">
        <v>256</v>
      </c>
      <c r="N107" s="145">
        <f>O107*12</f>
        <v>102000</v>
      </c>
      <c r="O107" s="192">
        <v>8500</v>
      </c>
      <c r="P107" s="169" t="s">
        <v>544</v>
      </c>
      <c r="S107" s="173"/>
      <c r="T107" s="134" t="s">
        <v>528</v>
      </c>
      <c r="U107" s="133" t="s">
        <v>265</v>
      </c>
      <c r="V107" s="133" t="s">
        <v>266</v>
      </c>
    </row>
    <row r="108" spans="1:23" ht="16.5">
      <c r="A108" s="133" t="s">
        <v>548</v>
      </c>
      <c r="B108" s="274" t="s">
        <v>226</v>
      </c>
      <c r="C108" s="133" t="s">
        <v>568</v>
      </c>
      <c r="D108" s="133" t="s">
        <v>573</v>
      </c>
      <c r="E108" s="134" t="s">
        <v>592</v>
      </c>
      <c r="F108" s="133" t="s">
        <v>601</v>
      </c>
      <c r="G108" s="133" t="s">
        <v>488</v>
      </c>
      <c r="H108" s="142" t="s">
        <v>31</v>
      </c>
      <c r="I108" s="133" t="s">
        <v>380</v>
      </c>
      <c r="J108" s="177" t="s">
        <v>594</v>
      </c>
      <c r="K108" s="175" t="s">
        <v>512</v>
      </c>
      <c r="L108" s="175" t="s">
        <v>512</v>
      </c>
      <c r="M108" s="175" t="s">
        <v>256</v>
      </c>
      <c r="N108" s="145">
        <f>O108*12</f>
        <v>168415.91999999998</v>
      </c>
      <c r="O108" s="192">
        <v>14034.66</v>
      </c>
      <c r="P108" s="169" t="s">
        <v>595</v>
      </c>
      <c r="S108" s="173"/>
      <c r="T108" s="134" t="s">
        <v>528</v>
      </c>
      <c r="U108" s="133" t="s">
        <v>265</v>
      </c>
      <c r="V108" s="133" t="s">
        <v>266</v>
      </c>
    </row>
    <row r="109" spans="1:23" ht="16.5">
      <c r="A109" s="133" t="s">
        <v>548</v>
      </c>
      <c r="B109" s="274" t="s">
        <v>226</v>
      </c>
      <c r="C109" s="133" t="s">
        <v>568</v>
      </c>
      <c r="D109" s="133" t="s">
        <v>573</v>
      </c>
      <c r="E109" s="134" t="s">
        <v>596</v>
      </c>
      <c r="F109" s="133" t="s">
        <v>602</v>
      </c>
      <c r="G109" s="133" t="s">
        <v>488</v>
      </c>
      <c r="H109" s="142" t="s">
        <v>31</v>
      </c>
      <c r="I109" s="133" t="s">
        <v>380</v>
      </c>
      <c r="J109" s="177" t="s">
        <v>598</v>
      </c>
      <c r="K109" s="175" t="s">
        <v>421</v>
      </c>
      <c r="L109" s="175" t="s">
        <v>421</v>
      </c>
      <c r="M109" s="175" t="s">
        <v>256</v>
      </c>
      <c r="N109" s="145">
        <f>O109*12</f>
        <v>54000</v>
      </c>
      <c r="O109" s="192">
        <v>4500</v>
      </c>
      <c r="P109" s="169" t="s">
        <v>544</v>
      </c>
      <c r="S109" s="173"/>
      <c r="T109" s="134" t="s">
        <v>528</v>
      </c>
      <c r="U109" s="133" t="s">
        <v>265</v>
      </c>
      <c r="V109" s="133" t="s">
        <v>266</v>
      </c>
    </row>
    <row r="110" spans="1:23" ht="16.5">
      <c r="A110" s="133" t="s">
        <v>548</v>
      </c>
      <c r="B110" s="274" t="s">
        <v>226</v>
      </c>
      <c r="C110" s="133" t="s">
        <v>568</v>
      </c>
      <c r="D110" s="133" t="s">
        <v>540</v>
      </c>
      <c r="E110" s="133" t="s">
        <v>603</v>
      </c>
      <c r="F110" s="133" t="s">
        <v>604</v>
      </c>
      <c r="G110" s="133" t="s">
        <v>488</v>
      </c>
      <c r="H110" s="133" t="s">
        <v>333</v>
      </c>
      <c r="I110" s="133" t="s">
        <v>365</v>
      </c>
      <c r="J110" s="177" t="s">
        <v>605</v>
      </c>
      <c r="K110" s="175" t="s">
        <v>606</v>
      </c>
      <c r="L110" s="175" t="s">
        <v>607</v>
      </c>
      <c r="M110" s="175" t="s">
        <v>256</v>
      </c>
      <c r="N110" s="210" t="s">
        <v>608</v>
      </c>
      <c r="O110" s="211"/>
      <c r="P110" s="212"/>
      <c r="S110" s="173"/>
      <c r="T110" s="134" t="s">
        <v>528</v>
      </c>
      <c r="U110" s="133" t="s">
        <v>265</v>
      </c>
      <c r="V110" s="133" t="s">
        <v>266</v>
      </c>
    </row>
    <row r="111" spans="1:23" ht="16.5">
      <c r="A111" s="133" t="s">
        <v>548</v>
      </c>
      <c r="B111" s="274" t="s">
        <v>226</v>
      </c>
      <c r="C111" s="133" t="s">
        <v>568</v>
      </c>
      <c r="D111" s="133" t="s">
        <v>540</v>
      </c>
      <c r="E111" s="133" t="s">
        <v>596</v>
      </c>
      <c r="F111" s="133" t="s">
        <v>609</v>
      </c>
      <c r="G111" s="133" t="s">
        <v>488</v>
      </c>
      <c r="H111" s="133" t="s">
        <v>333</v>
      </c>
      <c r="I111" s="133" t="s">
        <v>334</v>
      </c>
      <c r="J111" s="177" t="s">
        <v>598</v>
      </c>
      <c r="K111" s="175" t="s">
        <v>421</v>
      </c>
      <c r="L111" s="175" t="s">
        <v>421</v>
      </c>
      <c r="M111" s="175" t="s">
        <v>256</v>
      </c>
      <c r="N111" s="191">
        <f t="shared" ref="N111:N118" si="4">O111*12</f>
        <v>42000</v>
      </c>
      <c r="O111" s="193">
        <v>3500</v>
      </c>
      <c r="P111" s="169" t="s">
        <v>610</v>
      </c>
      <c r="S111" s="173"/>
      <c r="T111" s="134" t="s">
        <v>528</v>
      </c>
      <c r="U111" s="133" t="s">
        <v>265</v>
      </c>
      <c r="V111" s="133" t="s">
        <v>266</v>
      </c>
    </row>
    <row r="112" spans="1:23" ht="16.5">
      <c r="A112" s="133" t="s">
        <v>548</v>
      </c>
      <c r="B112" s="274" t="s">
        <v>226</v>
      </c>
      <c r="C112" s="133" t="s">
        <v>568</v>
      </c>
      <c r="D112" s="133" t="s">
        <v>573</v>
      </c>
      <c r="E112" s="133" t="s">
        <v>592</v>
      </c>
      <c r="F112" s="134" t="s">
        <v>611</v>
      </c>
      <c r="G112" s="133" t="s">
        <v>488</v>
      </c>
      <c r="H112" s="133" t="s">
        <v>333</v>
      </c>
      <c r="J112" s="177" t="s">
        <v>594</v>
      </c>
      <c r="K112" s="175" t="s">
        <v>512</v>
      </c>
      <c r="L112" s="175" t="s">
        <v>512</v>
      </c>
      <c r="M112" s="175" t="s">
        <v>256</v>
      </c>
      <c r="N112" s="145">
        <f t="shared" si="4"/>
        <v>24000</v>
      </c>
      <c r="O112" s="192">
        <v>2000</v>
      </c>
      <c r="P112" s="172"/>
      <c r="S112" s="173"/>
      <c r="T112" s="134" t="s">
        <v>528</v>
      </c>
      <c r="U112" s="133" t="s">
        <v>265</v>
      </c>
      <c r="V112" s="133" t="s">
        <v>266</v>
      </c>
    </row>
    <row r="113" spans="1:22" ht="16.5">
      <c r="A113" s="133" t="s">
        <v>548</v>
      </c>
      <c r="B113" s="274" t="s">
        <v>226</v>
      </c>
      <c r="C113" s="133" t="s">
        <v>568</v>
      </c>
      <c r="D113" s="133" t="s">
        <v>540</v>
      </c>
      <c r="E113" s="133" t="s">
        <v>596</v>
      </c>
      <c r="F113" s="133" t="s">
        <v>612</v>
      </c>
      <c r="G113" s="133" t="s">
        <v>488</v>
      </c>
      <c r="H113" s="133" t="s">
        <v>333</v>
      </c>
      <c r="J113" s="177" t="s">
        <v>598</v>
      </c>
      <c r="K113" s="175" t="s">
        <v>421</v>
      </c>
      <c r="L113" s="175" t="s">
        <v>421</v>
      </c>
      <c r="M113" s="175" t="s">
        <v>256</v>
      </c>
      <c r="N113" s="145">
        <f t="shared" si="4"/>
        <v>12000</v>
      </c>
      <c r="O113" s="192">
        <v>1000</v>
      </c>
      <c r="P113" s="169" t="s">
        <v>544</v>
      </c>
      <c r="S113" s="173"/>
      <c r="T113" s="134" t="s">
        <v>528</v>
      </c>
      <c r="U113" s="133" t="s">
        <v>265</v>
      </c>
      <c r="V113" s="133" t="s">
        <v>266</v>
      </c>
    </row>
    <row r="114" spans="1:22" ht="16.5">
      <c r="A114" s="133" t="s">
        <v>548</v>
      </c>
      <c r="B114" s="274" t="s">
        <v>226</v>
      </c>
      <c r="C114" s="133" t="s">
        <v>568</v>
      </c>
      <c r="D114" s="133" t="s">
        <v>540</v>
      </c>
      <c r="E114" s="133" t="s">
        <v>613</v>
      </c>
      <c r="F114" s="133" t="s">
        <v>614</v>
      </c>
      <c r="G114" s="133" t="s">
        <v>488</v>
      </c>
      <c r="H114" s="133" t="s">
        <v>333</v>
      </c>
      <c r="I114" s="133" t="s">
        <v>334</v>
      </c>
      <c r="J114" s="177" t="s">
        <v>581</v>
      </c>
      <c r="K114" s="175" t="s">
        <v>397</v>
      </c>
      <c r="L114" s="175" t="s">
        <v>397</v>
      </c>
      <c r="M114" s="175" t="s">
        <v>256</v>
      </c>
      <c r="N114" s="145">
        <f t="shared" si="4"/>
        <v>5280</v>
      </c>
      <c r="O114" s="192">
        <v>440</v>
      </c>
      <c r="P114" s="169" t="s">
        <v>544</v>
      </c>
      <c r="S114" s="173"/>
      <c r="T114" s="134" t="s">
        <v>528</v>
      </c>
      <c r="U114" s="133" t="s">
        <v>265</v>
      </c>
      <c r="V114" s="133" t="s">
        <v>266</v>
      </c>
    </row>
    <row r="115" spans="1:22" ht="16.5">
      <c r="A115" s="133" t="s">
        <v>548</v>
      </c>
      <c r="B115" s="274" t="s">
        <v>226</v>
      </c>
      <c r="C115" s="133" t="s">
        <v>568</v>
      </c>
      <c r="D115" s="133" t="s">
        <v>540</v>
      </c>
      <c r="E115" s="133" t="s">
        <v>615</v>
      </c>
      <c r="F115" s="133" t="s">
        <v>616</v>
      </c>
      <c r="G115" s="133" t="s">
        <v>488</v>
      </c>
      <c r="H115" s="133" t="s">
        <v>333</v>
      </c>
      <c r="J115" s="177" t="s">
        <v>598</v>
      </c>
      <c r="K115" s="175" t="s">
        <v>421</v>
      </c>
      <c r="L115" s="175" t="s">
        <v>421</v>
      </c>
      <c r="M115" s="175" t="s">
        <v>256</v>
      </c>
      <c r="N115" s="145">
        <f t="shared" si="4"/>
        <v>3600</v>
      </c>
      <c r="O115" s="192">
        <v>300</v>
      </c>
      <c r="P115" s="172"/>
      <c r="S115" s="173"/>
      <c r="T115" s="134" t="s">
        <v>528</v>
      </c>
      <c r="U115" s="133" t="s">
        <v>265</v>
      </c>
      <c r="V115" s="133" t="s">
        <v>266</v>
      </c>
    </row>
    <row r="116" spans="1:22" ht="16.5">
      <c r="A116" s="133" t="s">
        <v>548</v>
      </c>
      <c r="B116" s="274" t="s">
        <v>226</v>
      </c>
      <c r="C116" s="133" t="s">
        <v>568</v>
      </c>
      <c r="D116" s="133" t="s">
        <v>540</v>
      </c>
      <c r="E116" s="133" t="s">
        <v>617</v>
      </c>
      <c r="F116" s="133" t="s">
        <v>618</v>
      </c>
      <c r="G116" s="133" t="s">
        <v>488</v>
      </c>
      <c r="H116" s="133" t="s">
        <v>333</v>
      </c>
      <c r="I116" s="133" t="s">
        <v>334</v>
      </c>
      <c r="J116" s="177" t="s">
        <v>576</v>
      </c>
      <c r="K116" s="175" t="s">
        <v>553</v>
      </c>
      <c r="L116" s="175" t="s">
        <v>553</v>
      </c>
      <c r="M116" s="175" t="s">
        <v>256</v>
      </c>
      <c r="N116" s="145">
        <f t="shared" si="4"/>
        <v>120</v>
      </c>
      <c r="O116" s="192">
        <v>10</v>
      </c>
      <c r="P116" s="172"/>
      <c r="S116" s="173"/>
      <c r="T116" s="134" t="s">
        <v>528</v>
      </c>
      <c r="U116" s="133" t="s">
        <v>265</v>
      </c>
      <c r="V116" s="133" t="s">
        <v>266</v>
      </c>
    </row>
    <row r="117" spans="1:22" ht="16.5">
      <c r="A117" s="133" t="s">
        <v>548</v>
      </c>
      <c r="B117" s="274" t="s">
        <v>226</v>
      </c>
      <c r="C117" s="133" t="s">
        <v>568</v>
      </c>
      <c r="D117" s="133" t="s">
        <v>540</v>
      </c>
      <c r="E117" s="133" t="s">
        <v>617</v>
      </c>
      <c r="F117" s="133" t="s">
        <v>619</v>
      </c>
      <c r="G117" s="133" t="s">
        <v>488</v>
      </c>
      <c r="H117" s="133" t="s">
        <v>333</v>
      </c>
      <c r="I117" s="133" t="s">
        <v>365</v>
      </c>
      <c r="J117" s="177" t="s">
        <v>576</v>
      </c>
      <c r="K117" s="175" t="s">
        <v>553</v>
      </c>
      <c r="L117" s="175" t="s">
        <v>553</v>
      </c>
      <c r="M117" s="175" t="s">
        <v>256</v>
      </c>
      <c r="N117" s="145">
        <f t="shared" si="4"/>
        <v>600</v>
      </c>
      <c r="O117" s="192">
        <v>50</v>
      </c>
      <c r="P117" s="172"/>
      <c r="S117" s="173"/>
      <c r="T117" s="134" t="s">
        <v>528</v>
      </c>
      <c r="U117" s="133" t="s">
        <v>265</v>
      </c>
      <c r="V117" s="133" t="s">
        <v>266</v>
      </c>
    </row>
    <row r="118" spans="1:22" ht="16.5">
      <c r="A118" s="133" t="s">
        <v>548</v>
      </c>
      <c r="B118" s="274" t="s">
        <v>226</v>
      </c>
      <c r="C118" s="133" t="s">
        <v>568</v>
      </c>
      <c r="D118" s="133" t="s">
        <v>540</v>
      </c>
      <c r="E118" s="133" t="s">
        <v>617</v>
      </c>
      <c r="F118" s="133" t="s">
        <v>620</v>
      </c>
      <c r="G118" s="133" t="s">
        <v>488</v>
      </c>
      <c r="H118" s="133" t="s">
        <v>333</v>
      </c>
      <c r="I118" s="133" t="s">
        <v>380</v>
      </c>
      <c r="J118" s="177" t="s">
        <v>576</v>
      </c>
      <c r="K118" s="175" t="s">
        <v>553</v>
      </c>
      <c r="L118" s="175" t="s">
        <v>553</v>
      </c>
      <c r="M118" s="175" t="s">
        <v>256</v>
      </c>
      <c r="N118" s="145">
        <f t="shared" si="4"/>
        <v>120</v>
      </c>
      <c r="O118" s="192">
        <v>10</v>
      </c>
      <c r="P118" s="172"/>
      <c r="S118" s="173"/>
      <c r="T118" s="134" t="s">
        <v>528</v>
      </c>
      <c r="U118" s="133" t="s">
        <v>265</v>
      </c>
      <c r="V118" s="133" t="s">
        <v>266</v>
      </c>
    </row>
    <row r="119" spans="1:22" ht="16.5">
      <c r="A119" s="133" t="s">
        <v>548</v>
      </c>
      <c r="B119" s="274" t="s">
        <v>226</v>
      </c>
      <c r="C119" s="133" t="s">
        <v>568</v>
      </c>
      <c r="D119" s="133" t="s">
        <v>540</v>
      </c>
      <c r="E119" s="133" t="s">
        <v>621</v>
      </c>
      <c r="F119" s="133" t="s">
        <v>622</v>
      </c>
      <c r="G119" s="133" t="s">
        <v>488</v>
      </c>
      <c r="H119" s="133" t="s">
        <v>333</v>
      </c>
      <c r="I119" s="133" t="s">
        <v>365</v>
      </c>
      <c r="J119" s="177" t="s">
        <v>598</v>
      </c>
      <c r="K119" s="175" t="s">
        <v>421</v>
      </c>
      <c r="L119" s="175" t="s">
        <v>421</v>
      </c>
      <c r="M119" s="175" t="s">
        <v>256</v>
      </c>
      <c r="N119" s="210" t="s">
        <v>608</v>
      </c>
      <c r="O119" s="211"/>
      <c r="P119" s="212"/>
      <c r="S119" s="173"/>
      <c r="T119" s="134" t="s">
        <v>528</v>
      </c>
      <c r="U119" s="133" t="s">
        <v>265</v>
      </c>
      <c r="V119" s="133" t="s">
        <v>266</v>
      </c>
    </row>
    <row r="120" spans="1:22" ht="16.5">
      <c r="A120" s="133" t="s">
        <v>548</v>
      </c>
      <c r="B120" s="274" t="s">
        <v>226</v>
      </c>
      <c r="C120" s="133" t="s">
        <v>568</v>
      </c>
      <c r="D120" s="133" t="s">
        <v>540</v>
      </c>
      <c r="E120" s="134" t="s">
        <v>613</v>
      </c>
      <c r="F120" s="133" t="s">
        <v>623</v>
      </c>
      <c r="G120" s="133" t="s">
        <v>488</v>
      </c>
      <c r="H120" s="142" t="s">
        <v>31</v>
      </c>
      <c r="J120" s="177" t="s">
        <v>581</v>
      </c>
      <c r="K120" s="175" t="s">
        <v>397</v>
      </c>
      <c r="L120" s="175" t="s">
        <v>397</v>
      </c>
      <c r="M120" s="175" t="s">
        <v>256</v>
      </c>
      <c r="N120" s="145">
        <f>O120*12</f>
        <v>120</v>
      </c>
      <c r="O120" s="192">
        <v>10</v>
      </c>
      <c r="P120" s="172"/>
      <c r="S120" s="173"/>
      <c r="T120" s="134" t="s">
        <v>528</v>
      </c>
      <c r="U120" s="133" t="s">
        <v>265</v>
      </c>
      <c r="V120" s="133" t="s">
        <v>266</v>
      </c>
    </row>
    <row r="121" spans="1:22" ht="16.5">
      <c r="A121" s="133" t="s">
        <v>548</v>
      </c>
      <c r="B121" s="274" t="s">
        <v>226</v>
      </c>
      <c r="C121" s="133" t="s">
        <v>568</v>
      </c>
      <c r="D121" s="133" t="s">
        <v>540</v>
      </c>
      <c r="E121" s="134" t="s">
        <v>624</v>
      </c>
      <c r="F121" s="133" t="s">
        <v>625</v>
      </c>
      <c r="G121" s="133" t="s">
        <v>488</v>
      </c>
      <c r="H121" s="142" t="s">
        <v>31</v>
      </c>
      <c r="J121" s="177" t="s">
        <v>415</v>
      </c>
      <c r="L121" s="175" t="s">
        <v>626</v>
      </c>
      <c r="M121" s="175" t="s">
        <v>256</v>
      </c>
      <c r="N121" s="145">
        <f>O121*12</f>
        <v>0</v>
      </c>
      <c r="O121" s="192"/>
      <c r="P121" s="172"/>
      <c r="S121" s="173"/>
      <c r="T121" s="134" t="s">
        <v>528</v>
      </c>
      <c r="U121" s="133" t="s">
        <v>265</v>
      </c>
      <c r="V121" s="133" t="s">
        <v>266</v>
      </c>
    </row>
    <row r="122" spans="1:22" ht="16.5">
      <c r="A122" s="133" t="s">
        <v>548</v>
      </c>
      <c r="B122" s="274" t="s">
        <v>226</v>
      </c>
      <c r="C122" s="133" t="s">
        <v>568</v>
      </c>
      <c r="D122" s="133" t="s">
        <v>540</v>
      </c>
      <c r="E122" s="134" t="s">
        <v>627</v>
      </c>
      <c r="F122" s="133" t="s">
        <v>628</v>
      </c>
      <c r="G122" s="133" t="s">
        <v>488</v>
      </c>
      <c r="H122" s="142" t="s">
        <v>31</v>
      </c>
      <c r="J122" s="177" t="s">
        <v>586</v>
      </c>
      <c r="K122" s="175" t="s">
        <v>587</v>
      </c>
      <c r="L122" s="175" t="s">
        <v>587</v>
      </c>
      <c r="M122" s="175" t="s">
        <v>256</v>
      </c>
      <c r="N122" s="145">
        <f>O122*12</f>
        <v>240</v>
      </c>
      <c r="O122" s="192">
        <v>20</v>
      </c>
      <c r="P122" s="169" t="s">
        <v>544</v>
      </c>
      <c r="S122" s="173"/>
      <c r="T122" s="134" t="s">
        <v>528</v>
      </c>
      <c r="U122" s="133" t="s">
        <v>265</v>
      </c>
      <c r="V122" s="133" t="s">
        <v>266</v>
      </c>
    </row>
    <row r="123" spans="1:22" ht="16.5">
      <c r="A123" s="133" t="s">
        <v>548</v>
      </c>
      <c r="B123" s="274" t="s">
        <v>226</v>
      </c>
      <c r="C123" s="133" t="s">
        <v>568</v>
      </c>
      <c r="D123" s="133" t="s">
        <v>540</v>
      </c>
      <c r="E123" s="134" t="s">
        <v>617</v>
      </c>
      <c r="F123" s="178" t="s">
        <v>629</v>
      </c>
      <c r="G123" s="133" t="s">
        <v>488</v>
      </c>
      <c r="H123" s="142" t="s">
        <v>31</v>
      </c>
      <c r="I123" s="133" t="s">
        <v>365</v>
      </c>
      <c r="J123" s="177" t="s">
        <v>576</v>
      </c>
      <c r="K123" s="175" t="s">
        <v>553</v>
      </c>
      <c r="L123" s="175" t="s">
        <v>553</v>
      </c>
      <c r="M123" s="175" t="s">
        <v>256</v>
      </c>
      <c r="N123" s="145">
        <f>O123*12</f>
        <v>600</v>
      </c>
      <c r="O123" s="192">
        <v>50</v>
      </c>
      <c r="P123" s="172"/>
      <c r="S123" s="173"/>
      <c r="T123" s="134" t="s">
        <v>528</v>
      </c>
      <c r="U123" s="133" t="s">
        <v>265</v>
      </c>
      <c r="V123" s="133" t="s">
        <v>266</v>
      </c>
    </row>
    <row r="124" spans="1:22" ht="66.75">
      <c r="A124" s="133" t="s">
        <v>313</v>
      </c>
      <c r="B124" s="274" t="s">
        <v>630</v>
      </c>
      <c r="C124" s="133" t="s">
        <v>631</v>
      </c>
      <c r="D124" s="133" t="s">
        <v>632</v>
      </c>
      <c r="E124" s="134" t="s">
        <v>633</v>
      </c>
      <c r="F124" s="133" t="s">
        <v>634</v>
      </c>
      <c r="G124" s="133" t="str">
        <f t="shared" ref="G124:G175" si="5">LEFT(F124, 13)</f>
        <v>ovs-lx-vib-01</v>
      </c>
      <c r="H124" s="133" t="s">
        <v>333</v>
      </c>
      <c r="I124" s="133" t="s">
        <v>365</v>
      </c>
      <c r="J124" s="177" t="s">
        <v>635</v>
      </c>
      <c r="K124" s="175" t="s">
        <v>636</v>
      </c>
      <c r="M124" s="175" t="s">
        <v>256</v>
      </c>
      <c r="N124" s="190">
        <f>O124*12</f>
        <v>27888.120000000003</v>
      </c>
      <c r="O124" s="192">
        <v>2324.0100000000002</v>
      </c>
      <c r="P124" s="163"/>
      <c r="Q124" s="136" t="s">
        <v>637</v>
      </c>
      <c r="R124" s="173" t="s">
        <v>638</v>
      </c>
      <c r="S124" s="173" t="s">
        <v>639</v>
      </c>
      <c r="T124" s="134" t="s">
        <v>640</v>
      </c>
      <c r="U124" s="133" t="s">
        <v>265</v>
      </c>
      <c r="V124" s="133" t="s">
        <v>266</v>
      </c>
    </row>
    <row r="125" spans="1:22" ht="66.75">
      <c r="A125" s="133" t="s">
        <v>313</v>
      </c>
      <c r="B125" s="274" t="s">
        <v>630</v>
      </c>
      <c r="C125" s="133" t="s">
        <v>631</v>
      </c>
      <c r="D125" s="133" t="s">
        <v>632</v>
      </c>
      <c r="E125" s="134" t="s">
        <v>633</v>
      </c>
      <c r="F125" s="133" t="s">
        <v>641</v>
      </c>
      <c r="G125" s="133" t="str">
        <f t="shared" si="5"/>
        <v>ovs-lx-vib-01</v>
      </c>
      <c r="H125" s="133" t="s">
        <v>333</v>
      </c>
      <c r="I125" s="133" t="s">
        <v>380</v>
      </c>
      <c r="J125" s="177" t="s">
        <v>635</v>
      </c>
      <c r="K125" s="175" t="s">
        <v>636</v>
      </c>
      <c r="M125" s="175" t="s">
        <v>256</v>
      </c>
      <c r="N125" s="190">
        <v>27943.97</v>
      </c>
      <c r="O125" s="192">
        <v>2272.69</v>
      </c>
      <c r="P125" s="163"/>
      <c r="Q125" s="136" t="s">
        <v>637</v>
      </c>
      <c r="R125" s="173" t="s">
        <v>638</v>
      </c>
      <c r="S125" s="173" t="s">
        <v>639</v>
      </c>
      <c r="T125" s="134" t="s">
        <v>640</v>
      </c>
      <c r="U125" s="133" t="s">
        <v>265</v>
      </c>
      <c r="V125" s="133" t="s">
        <v>266</v>
      </c>
    </row>
    <row r="126" spans="1:22" ht="66.75">
      <c r="A126" s="133" t="s">
        <v>313</v>
      </c>
      <c r="B126" s="274" t="s">
        <v>630</v>
      </c>
      <c r="C126" s="133" t="s">
        <v>631</v>
      </c>
      <c r="D126" s="133" t="s">
        <v>632</v>
      </c>
      <c r="E126" s="134" t="s">
        <v>633</v>
      </c>
      <c r="F126" s="133" t="s">
        <v>642</v>
      </c>
      <c r="G126" s="133" t="str">
        <f t="shared" si="5"/>
        <v>ovs-lx-vib-01</v>
      </c>
      <c r="H126" s="133" t="s">
        <v>333</v>
      </c>
      <c r="I126" s="133" t="s">
        <v>334</v>
      </c>
      <c r="J126" s="177" t="s">
        <v>635</v>
      </c>
      <c r="K126" s="175" t="s">
        <v>636</v>
      </c>
      <c r="M126" s="175" t="s">
        <v>256</v>
      </c>
      <c r="N126" s="190">
        <v>27943.97</v>
      </c>
      <c r="O126" s="192">
        <v>2328.66</v>
      </c>
      <c r="P126" s="163"/>
      <c r="Q126" s="136" t="s">
        <v>637</v>
      </c>
      <c r="R126" s="173" t="s">
        <v>638</v>
      </c>
      <c r="S126" s="173" t="s">
        <v>639</v>
      </c>
      <c r="T126" s="134" t="s">
        <v>640</v>
      </c>
      <c r="U126" s="133" t="s">
        <v>265</v>
      </c>
      <c r="V126" s="133" t="s">
        <v>266</v>
      </c>
    </row>
    <row r="127" spans="1:22" ht="66.75">
      <c r="A127" s="133" t="s">
        <v>313</v>
      </c>
      <c r="B127" s="274" t="s">
        <v>630</v>
      </c>
      <c r="C127" s="133" t="s">
        <v>631</v>
      </c>
      <c r="D127" s="133" t="s">
        <v>632</v>
      </c>
      <c r="E127" s="134" t="s">
        <v>643</v>
      </c>
      <c r="F127" s="133" t="s">
        <v>644</v>
      </c>
      <c r="G127" s="133" t="str">
        <f t="shared" si="5"/>
        <v>ovs-lx-vbs-01</v>
      </c>
      <c r="H127" s="133" t="s">
        <v>333</v>
      </c>
      <c r="I127" s="133" t="s">
        <v>365</v>
      </c>
      <c r="J127" s="177" t="s">
        <v>635</v>
      </c>
      <c r="K127" s="175" t="s">
        <v>645</v>
      </c>
      <c r="L127" s="209"/>
      <c r="M127" s="175" t="s">
        <v>256</v>
      </c>
      <c r="N127" s="190">
        <f t="shared" ref="N127:N135" si="6">O127*12</f>
        <v>72210.36</v>
      </c>
      <c r="O127" s="192">
        <v>6017.53</v>
      </c>
      <c r="Q127" s="136" t="s">
        <v>646</v>
      </c>
      <c r="R127" s="173" t="s">
        <v>638</v>
      </c>
      <c r="S127" s="173" t="s">
        <v>639</v>
      </c>
      <c r="T127" s="134" t="s">
        <v>640</v>
      </c>
      <c r="U127" s="133" t="s">
        <v>265</v>
      </c>
      <c r="V127" s="133" t="s">
        <v>266</v>
      </c>
    </row>
    <row r="128" spans="1:22" ht="66.75">
      <c r="A128" s="133" t="s">
        <v>313</v>
      </c>
      <c r="B128" s="274" t="s">
        <v>630</v>
      </c>
      <c r="C128" s="133" t="s">
        <v>631</v>
      </c>
      <c r="D128" s="133" t="s">
        <v>632</v>
      </c>
      <c r="E128" s="134" t="s">
        <v>643</v>
      </c>
      <c r="F128" s="133" t="s">
        <v>647</v>
      </c>
      <c r="G128" s="133" t="str">
        <f t="shared" si="5"/>
        <v>ovs-lx-vbs-01</v>
      </c>
      <c r="H128" s="133" t="s">
        <v>333</v>
      </c>
      <c r="I128" s="133" t="s">
        <v>380</v>
      </c>
      <c r="J128" s="177" t="s">
        <v>635</v>
      </c>
      <c r="K128" s="175" t="s">
        <v>645</v>
      </c>
      <c r="L128" s="209"/>
      <c r="M128" s="175" t="s">
        <v>256</v>
      </c>
      <c r="N128" s="190">
        <f t="shared" si="6"/>
        <v>61212.12</v>
      </c>
      <c r="O128" s="192">
        <v>5101.01</v>
      </c>
      <c r="P128" s="163"/>
      <c r="Q128" s="136" t="s">
        <v>646</v>
      </c>
      <c r="R128" s="173" t="s">
        <v>638</v>
      </c>
      <c r="S128" s="173" t="s">
        <v>639</v>
      </c>
      <c r="T128" s="134" t="s">
        <v>640</v>
      </c>
      <c r="U128" s="133" t="s">
        <v>265</v>
      </c>
      <c r="V128" s="133" t="s">
        <v>266</v>
      </c>
    </row>
    <row r="129" spans="1:23" ht="66.75">
      <c r="A129" s="133" t="s">
        <v>313</v>
      </c>
      <c r="B129" s="274" t="s">
        <v>630</v>
      </c>
      <c r="C129" s="133" t="s">
        <v>631</v>
      </c>
      <c r="D129" s="133" t="s">
        <v>632</v>
      </c>
      <c r="E129" s="134" t="s">
        <v>643</v>
      </c>
      <c r="F129" s="133" t="s">
        <v>648</v>
      </c>
      <c r="G129" s="133" t="str">
        <f t="shared" si="5"/>
        <v>ovs-lx-vbs-01</v>
      </c>
      <c r="H129" s="133" t="s">
        <v>333</v>
      </c>
      <c r="I129" s="133" t="s">
        <v>334</v>
      </c>
      <c r="J129" s="177" t="s">
        <v>635</v>
      </c>
      <c r="K129" s="175" t="s">
        <v>645</v>
      </c>
      <c r="L129" s="209"/>
      <c r="M129" s="175" t="s">
        <v>256</v>
      </c>
      <c r="N129" s="190">
        <f t="shared" si="6"/>
        <v>78700.200000000012</v>
      </c>
      <c r="O129" s="192">
        <v>6558.35</v>
      </c>
      <c r="P129" s="163"/>
      <c r="Q129" s="136" t="s">
        <v>646</v>
      </c>
      <c r="R129" s="173" t="s">
        <v>638</v>
      </c>
      <c r="S129" s="173" t="s">
        <v>639</v>
      </c>
      <c r="T129" s="134" t="s">
        <v>640</v>
      </c>
      <c r="U129" s="133" t="s">
        <v>265</v>
      </c>
      <c r="V129" s="133" t="s">
        <v>266</v>
      </c>
    </row>
    <row r="130" spans="1:23" ht="66.75">
      <c r="A130" s="133" t="s">
        <v>313</v>
      </c>
      <c r="B130" s="274" t="s">
        <v>630</v>
      </c>
      <c r="C130" s="133" t="s">
        <v>631</v>
      </c>
      <c r="D130" s="133" t="s">
        <v>632</v>
      </c>
      <c r="E130" s="134" t="s">
        <v>649</v>
      </c>
      <c r="F130" s="133" t="s">
        <v>650</v>
      </c>
      <c r="G130" s="133" t="str">
        <f t="shared" si="5"/>
        <v>ovs-lx-vlo-01</v>
      </c>
      <c r="H130" s="133" t="s">
        <v>333</v>
      </c>
      <c r="I130" s="133" t="s">
        <v>365</v>
      </c>
      <c r="J130" s="177" t="s">
        <v>651</v>
      </c>
      <c r="K130" s="175" t="s">
        <v>652</v>
      </c>
      <c r="L130" s="175" t="s">
        <v>512</v>
      </c>
      <c r="M130" s="175" t="s">
        <v>256</v>
      </c>
      <c r="N130" s="190">
        <f t="shared" si="6"/>
        <v>34740.479999999996</v>
      </c>
      <c r="O130" s="192">
        <v>2895.04</v>
      </c>
      <c r="P130" s="163"/>
      <c r="Q130" s="136" t="s">
        <v>653</v>
      </c>
      <c r="R130" s="173" t="s">
        <v>638</v>
      </c>
      <c r="S130" s="173" t="s">
        <v>639</v>
      </c>
      <c r="T130" s="134" t="s">
        <v>640</v>
      </c>
      <c r="U130" s="133" t="s">
        <v>265</v>
      </c>
      <c r="V130" s="133" t="s">
        <v>266</v>
      </c>
    </row>
    <row r="131" spans="1:23" ht="66.75">
      <c r="A131" s="133" t="s">
        <v>313</v>
      </c>
      <c r="B131" s="274" t="s">
        <v>630</v>
      </c>
      <c r="C131" s="133" t="s">
        <v>631</v>
      </c>
      <c r="D131" s="133" t="s">
        <v>632</v>
      </c>
      <c r="E131" s="134" t="s">
        <v>649</v>
      </c>
      <c r="F131" s="133" t="s">
        <v>654</v>
      </c>
      <c r="G131" s="133" t="str">
        <f t="shared" si="5"/>
        <v>ovs-lx-vlo-01</v>
      </c>
      <c r="H131" s="133" t="s">
        <v>333</v>
      </c>
      <c r="I131" s="133" t="s">
        <v>380</v>
      </c>
      <c r="J131" s="177" t="s">
        <v>651</v>
      </c>
      <c r="K131" s="175" t="s">
        <v>652</v>
      </c>
      <c r="L131" s="175" t="s">
        <v>512</v>
      </c>
      <c r="M131" s="175" t="s">
        <v>256</v>
      </c>
      <c r="N131" s="190">
        <f t="shared" si="6"/>
        <v>30179.040000000001</v>
      </c>
      <c r="O131" s="192">
        <v>2514.92</v>
      </c>
      <c r="P131" s="163"/>
      <c r="Q131" s="136" t="s">
        <v>653</v>
      </c>
      <c r="R131" s="173" t="s">
        <v>638</v>
      </c>
      <c r="S131" s="173" t="s">
        <v>639</v>
      </c>
      <c r="T131" s="134" t="s">
        <v>640</v>
      </c>
      <c r="U131" s="133" t="s">
        <v>265</v>
      </c>
      <c r="V131" s="133" t="s">
        <v>266</v>
      </c>
    </row>
    <row r="132" spans="1:23" ht="66.75">
      <c r="A132" s="133" t="s">
        <v>313</v>
      </c>
      <c r="B132" s="274" t="s">
        <v>630</v>
      </c>
      <c r="C132" s="133" t="s">
        <v>631</v>
      </c>
      <c r="D132" s="133" t="s">
        <v>632</v>
      </c>
      <c r="E132" s="134" t="s">
        <v>649</v>
      </c>
      <c r="F132" s="133" t="s">
        <v>655</v>
      </c>
      <c r="G132" s="133" t="str">
        <f t="shared" si="5"/>
        <v>ovs-lx-vlo-01</v>
      </c>
      <c r="H132" s="133" t="s">
        <v>333</v>
      </c>
      <c r="I132" s="133" t="s">
        <v>334</v>
      </c>
      <c r="J132" s="177" t="s">
        <v>651</v>
      </c>
      <c r="K132" s="175" t="s">
        <v>652</v>
      </c>
      <c r="L132" s="175" t="s">
        <v>512</v>
      </c>
      <c r="M132" s="175" t="s">
        <v>256</v>
      </c>
      <c r="N132" s="190">
        <f t="shared" si="6"/>
        <v>23525.4</v>
      </c>
      <c r="O132" s="192">
        <v>1960.45</v>
      </c>
      <c r="P132" s="163"/>
      <c r="Q132" s="136" t="s">
        <v>653</v>
      </c>
      <c r="R132" s="173" t="s">
        <v>638</v>
      </c>
      <c r="S132" s="173" t="s">
        <v>639</v>
      </c>
      <c r="T132" s="134" t="s">
        <v>640</v>
      </c>
      <c r="U132" s="133" t="s">
        <v>265</v>
      </c>
      <c r="V132" s="133" t="s">
        <v>266</v>
      </c>
    </row>
    <row r="133" spans="1:23" ht="66.75">
      <c r="A133" s="133" t="s">
        <v>313</v>
      </c>
      <c r="B133" s="274" t="s">
        <v>630</v>
      </c>
      <c r="C133" s="133" t="s">
        <v>631</v>
      </c>
      <c r="D133" s="133" t="s">
        <v>632</v>
      </c>
      <c r="E133" s="134" t="s">
        <v>656</v>
      </c>
      <c r="F133" s="133" t="s">
        <v>657</v>
      </c>
      <c r="G133" s="133" t="str">
        <f t="shared" si="5"/>
        <v>ovs-lx-vcp-01</v>
      </c>
      <c r="H133" s="133" t="s">
        <v>333</v>
      </c>
      <c r="I133" s="133" t="s">
        <v>365</v>
      </c>
      <c r="J133" s="177" t="s">
        <v>651</v>
      </c>
      <c r="K133" s="175" t="s">
        <v>652</v>
      </c>
      <c r="L133" s="175" t="s">
        <v>512</v>
      </c>
      <c r="M133" s="175" t="s">
        <v>256</v>
      </c>
      <c r="N133" s="190">
        <f t="shared" si="6"/>
        <v>50844.959999999999</v>
      </c>
      <c r="O133" s="192">
        <v>4237.08</v>
      </c>
      <c r="P133" s="163"/>
      <c r="Q133" s="136" t="s">
        <v>658</v>
      </c>
      <c r="R133" s="173" t="s">
        <v>638</v>
      </c>
      <c r="S133" s="173" t="s">
        <v>639</v>
      </c>
      <c r="T133" s="134" t="s">
        <v>640</v>
      </c>
      <c r="U133" s="133" t="s">
        <v>265</v>
      </c>
      <c r="V133" s="133" t="s">
        <v>266</v>
      </c>
    </row>
    <row r="134" spans="1:23" ht="66.75">
      <c r="A134" s="133" t="s">
        <v>313</v>
      </c>
      <c r="B134" s="274" t="s">
        <v>630</v>
      </c>
      <c r="C134" s="133" t="s">
        <v>631</v>
      </c>
      <c r="D134" s="133" t="s">
        <v>632</v>
      </c>
      <c r="E134" s="134" t="s">
        <v>656</v>
      </c>
      <c r="F134" s="133" t="s">
        <v>659</v>
      </c>
      <c r="G134" s="133" t="str">
        <f t="shared" si="5"/>
        <v>ovs-lx-vcp-01</v>
      </c>
      <c r="H134" s="133" t="s">
        <v>333</v>
      </c>
      <c r="I134" s="133" t="s">
        <v>380</v>
      </c>
      <c r="J134" s="177" t="s">
        <v>651</v>
      </c>
      <c r="K134" s="175" t="s">
        <v>652</v>
      </c>
      <c r="L134" s="175" t="s">
        <v>512</v>
      </c>
      <c r="M134" s="175" t="s">
        <v>256</v>
      </c>
      <c r="N134" s="190">
        <f t="shared" si="6"/>
        <v>63754.080000000002</v>
      </c>
      <c r="O134" s="192">
        <v>5312.84</v>
      </c>
      <c r="P134" s="163"/>
      <c r="Q134" s="136" t="s">
        <v>658</v>
      </c>
      <c r="R134" s="173" t="s">
        <v>638</v>
      </c>
      <c r="S134" s="173" t="s">
        <v>639</v>
      </c>
      <c r="T134" s="134" t="s">
        <v>640</v>
      </c>
      <c r="U134" s="133" t="s">
        <v>265</v>
      </c>
      <c r="V134" s="133" t="s">
        <v>266</v>
      </c>
    </row>
    <row r="135" spans="1:23" ht="66.75">
      <c r="A135" s="133" t="s">
        <v>313</v>
      </c>
      <c r="B135" s="274" t="s">
        <v>630</v>
      </c>
      <c r="C135" s="133" t="s">
        <v>631</v>
      </c>
      <c r="D135" s="133" t="s">
        <v>632</v>
      </c>
      <c r="E135" s="134" t="s">
        <v>656</v>
      </c>
      <c r="F135" s="133" t="s">
        <v>660</v>
      </c>
      <c r="G135" s="133" t="str">
        <f t="shared" si="5"/>
        <v>ovs-lx-vcp-01</v>
      </c>
      <c r="H135" s="133" t="s">
        <v>333</v>
      </c>
      <c r="I135" s="133" t="s">
        <v>334</v>
      </c>
      <c r="J135" s="177" t="s">
        <v>651</v>
      </c>
      <c r="K135" s="175" t="s">
        <v>652</v>
      </c>
      <c r="L135" s="175" t="s">
        <v>512</v>
      </c>
      <c r="M135" s="175" t="s">
        <v>256</v>
      </c>
      <c r="N135" s="190">
        <f t="shared" si="6"/>
        <v>51000</v>
      </c>
      <c r="O135" s="192">
        <v>4250</v>
      </c>
      <c r="P135" s="163"/>
      <c r="Q135" s="136" t="s">
        <v>658</v>
      </c>
      <c r="R135" s="173" t="s">
        <v>638</v>
      </c>
      <c r="S135" s="173" t="s">
        <v>639</v>
      </c>
      <c r="T135" s="134" t="s">
        <v>640</v>
      </c>
      <c r="U135" s="133" t="s">
        <v>265</v>
      </c>
      <c r="V135" s="133" t="s">
        <v>266</v>
      </c>
    </row>
    <row r="136" spans="1:23" ht="66.75">
      <c r="A136" s="133" t="s">
        <v>313</v>
      </c>
      <c r="B136" s="274" t="s">
        <v>226</v>
      </c>
      <c r="C136" s="133" t="s">
        <v>661</v>
      </c>
      <c r="D136" s="133" t="s">
        <v>662</v>
      </c>
      <c r="E136" s="134" t="s">
        <v>663</v>
      </c>
      <c r="F136" s="133" t="s">
        <v>664</v>
      </c>
      <c r="G136" s="133" t="str">
        <f t="shared" si="5"/>
        <v>ovs-nt-www-01</v>
      </c>
      <c r="H136" s="133" t="s">
        <v>333</v>
      </c>
      <c r="I136" s="133" t="s">
        <v>357</v>
      </c>
      <c r="J136" s="177" t="s">
        <v>665</v>
      </c>
      <c r="K136" s="175" t="s">
        <v>666</v>
      </c>
      <c r="L136" s="175" t="s">
        <v>421</v>
      </c>
      <c r="M136" s="175" t="s">
        <v>256</v>
      </c>
      <c r="N136" s="190">
        <v>6000</v>
      </c>
      <c r="O136" s="192">
        <v>500</v>
      </c>
      <c r="P136" s="169"/>
      <c r="Q136" s="134" t="s">
        <v>667</v>
      </c>
      <c r="R136" s="134" t="s">
        <v>668</v>
      </c>
      <c r="S136" s="173" t="s">
        <v>669</v>
      </c>
      <c r="T136" s="134" t="s">
        <v>670</v>
      </c>
      <c r="U136" s="133" t="s">
        <v>265</v>
      </c>
      <c r="V136" s="133" t="s">
        <v>266</v>
      </c>
      <c r="W136" s="153" t="s">
        <v>671</v>
      </c>
    </row>
    <row r="137" spans="1:23" ht="66.75">
      <c r="A137" s="133" t="s">
        <v>313</v>
      </c>
      <c r="B137" s="274" t="s">
        <v>226</v>
      </c>
      <c r="C137" s="133" t="s">
        <v>661</v>
      </c>
      <c r="D137" s="133" t="s">
        <v>662</v>
      </c>
      <c r="E137" s="134" t="s">
        <v>663</v>
      </c>
      <c r="F137" s="133" t="s">
        <v>672</v>
      </c>
      <c r="G137" s="133" t="str">
        <f t="shared" si="5"/>
        <v>ovs-nt-www-01</v>
      </c>
      <c r="H137" s="133" t="s">
        <v>333</v>
      </c>
      <c r="I137" s="133" t="s">
        <v>343</v>
      </c>
      <c r="J137" s="177" t="s">
        <v>665</v>
      </c>
      <c r="K137" s="175" t="s">
        <v>666</v>
      </c>
      <c r="L137" s="175" t="s">
        <v>421</v>
      </c>
      <c r="M137" s="175" t="s">
        <v>256</v>
      </c>
      <c r="N137" s="190">
        <v>6000</v>
      </c>
      <c r="O137" s="192">
        <v>500</v>
      </c>
      <c r="P137" s="169"/>
      <c r="Q137" s="134" t="s">
        <v>673</v>
      </c>
      <c r="R137" s="134" t="s">
        <v>674</v>
      </c>
      <c r="S137" s="173" t="s">
        <v>669</v>
      </c>
      <c r="T137" s="134" t="s">
        <v>670</v>
      </c>
      <c r="U137" s="133" t="s">
        <v>265</v>
      </c>
      <c r="V137" s="133" t="s">
        <v>266</v>
      </c>
      <c r="W137" s="153" t="s">
        <v>671</v>
      </c>
    </row>
    <row r="138" spans="1:23" ht="66.75">
      <c r="A138" s="133" t="s">
        <v>313</v>
      </c>
      <c r="B138" s="274" t="s">
        <v>226</v>
      </c>
      <c r="C138" s="133" t="s">
        <v>661</v>
      </c>
      <c r="D138" s="133" t="s">
        <v>662</v>
      </c>
      <c r="E138" s="134" t="s">
        <v>663</v>
      </c>
      <c r="F138" s="133" t="s">
        <v>675</v>
      </c>
      <c r="G138" s="133" t="str">
        <f t="shared" si="5"/>
        <v>ovs-nt-www-01</v>
      </c>
      <c r="H138" s="133" t="s">
        <v>333</v>
      </c>
      <c r="I138" s="133" t="s">
        <v>334</v>
      </c>
      <c r="J138" s="177" t="s">
        <v>676</v>
      </c>
      <c r="K138" s="175" t="s">
        <v>666</v>
      </c>
      <c r="L138" s="175" t="s">
        <v>421</v>
      </c>
      <c r="M138" s="175" t="s">
        <v>256</v>
      </c>
      <c r="N138" s="190">
        <v>6000</v>
      </c>
      <c r="O138" s="192">
        <v>500</v>
      </c>
      <c r="P138" s="169"/>
      <c r="Q138" s="134" t="s">
        <v>667</v>
      </c>
      <c r="R138" s="134" t="s">
        <v>668</v>
      </c>
      <c r="S138" s="173" t="s">
        <v>669</v>
      </c>
      <c r="T138" s="134" t="s">
        <v>670</v>
      </c>
      <c r="U138" s="133" t="s">
        <v>265</v>
      </c>
      <c r="V138" s="133" t="s">
        <v>266</v>
      </c>
    </row>
    <row r="139" spans="1:23" ht="66.75">
      <c r="A139" s="133" t="s">
        <v>313</v>
      </c>
      <c r="B139" s="274" t="s">
        <v>226</v>
      </c>
      <c r="C139" s="133" t="s">
        <v>661</v>
      </c>
      <c r="D139" s="133" t="s">
        <v>677</v>
      </c>
      <c r="E139" s="134" t="s">
        <v>678</v>
      </c>
      <c r="F139" s="133" t="s">
        <v>679</v>
      </c>
      <c r="G139" s="133" t="str">
        <f t="shared" si="5"/>
        <v>mid-cp-spn-01</v>
      </c>
      <c r="H139" s="133" t="s">
        <v>473</v>
      </c>
      <c r="I139" s="133" t="s">
        <v>474</v>
      </c>
      <c r="J139" s="177" t="s">
        <v>680</v>
      </c>
      <c r="K139" s="175" t="s">
        <v>681</v>
      </c>
      <c r="L139" s="175" t="s">
        <v>682</v>
      </c>
      <c r="M139" s="175" t="s">
        <v>256</v>
      </c>
      <c r="N139" s="190">
        <v>20780</v>
      </c>
      <c r="O139" s="192">
        <f>ROUND(N139/12,0)</f>
        <v>1732</v>
      </c>
      <c r="P139" s="169"/>
      <c r="Q139" s="134"/>
      <c r="R139" s="134" t="s">
        <v>683</v>
      </c>
      <c r="S139" s="173" t="s">
        <v>669</v>
      </c>
      <c r="T139" s="134" t="s">
        <v>670</v>
      </c>
      <c r="U139" s="133" t="s">
        <v>265</v>
      </c>
      <c r="V139" s="133" t="s">
        <v>266</v>
      </c>
      <c r="W139" s="153" t="s">
        <v>684</v>
      </c>
    </row>
    <row r="140" spans="1:23" ht="66.75">
      <c r="A140" s="133" t="s">
        <v>313</v>
      </c>
      <c r="B140" s="274" t="s">
        <v>226</v>
      </c>
      <c r="C140" s="133" t="s">
        <v>661</v>
      </c>
      <c r="D140" s="133" t="s">
        <v>677</v>
      </c>
      <c r="E140" s="134" t="s">
        <v>678</v>
      </c>
      <c r="F140" s="133" t="s">
        <v>685</v>
      </c>
      <c r="G140" s="133" t="str">
        <f t="shared" si="5"/>
        <v>mid-cp-spn-01</v>
      </c>
      <c r="H140" s="133" t="s">
        <v>473</v>
      </c>
      <c r="I140" s="133" t="s">
        <v>686</v>
      </c>
      <c r="J140" s="177" t="s">
        <v>680</v>
      </c>
      <c r="K140" s="175" t="s">
        <v>681</v>
      </c>
      <c r="L140" s="175" t="s">
        <v>682</v>
      </c>
      <c r="M140" s="175" t="s">
        <v>256</v>
      </c>
      <c r="N140" s="190">
        <v>18356</v>
      </c>
      <c r="O140" s="192">
        <f>ROUND(N140/12,0)</f>
        <v>1530</v>
      </c>
      <c r="P140" s="169"/>
      <c r="Q140" s="134"/>
      <c r="R140" s="134" t="s">
        <v>683</v>
      </c>
      <c r="S140" s="173" t="s">
        <v>669</v>
      </c>
      <c r="T140" s="134" t="s">
        <v>670</v>
      </c>
      <c r="U140" s="133" t="s">
        <v>265</v>
      </c>
      <c r="V140" s="133" t="s">
        <v>266</v>
      </c>
      <c r="W140" s="153" t="s">
        <v>687</v>
      </c>
    </row>
    <row r="141" spans="1:23" ht="66.75">
      <c r="A141" s="133" t="s">
        <v>313</v>
      </c>
      <c r="B141" s="274" t="s">
        <v>226</v>
      </c>
      <c r="C141" s="133" t="s">
        <v>661</v>
      </c>
      <c r="D141" s="133" t="s">
        <v>677</v>
      </c>
      <c r="E141" s="134" t="s">
        <v>678</v>
      </c>
      <c r="F141" s="133" t="s">
        <v>688</v>
      </c>
      <c r="G141" s="133" t="str">
        <f t="shared" si="5"/>
        <v>mid-cp-spn-01</v>
      </c>
      <c r="H141" s="133" t="s">
        <v>473</v>
      </c>
      <c r="I141" s="133" t="s">
        <v>689</v>
      </c>
      <c r="J141" s="177" t="s">
        <v>680</v>
      </c>
      <c r="K141" s="175" t="s">
        <v>681</v>
      </c>
      <c r="L141" s="175" t="s">
        <v>682</v>
      </c>
      <c r="M141" s="175" t="s">
        <v>256</v>
      </c>
      <c r="N141" s="190">
        <v>16364</v>
      </c>
      <c r="O141" s="192">
        <f>ROUND(N141/12,0)</f>
        <v>1364</v>
      </c>
      <c r="P141" s="169"/>
      <c r="Q141" s="134"/>
      <c r="R141" s="134" t="s">
        <v>683</v>
      </c>
      <c r="S141" s="173" t="s">
        <v>669</v>
      </c>
      <c r="T141" s="134" t="s">
        <v>670</v>
      </c>
      <c r="U141" s="133" t="s">
        <v>265</v>
      </c>
      <c r="V141" s="133" t="s">
        <v>266</v>
      </c>
      <c r="W141" s="153" t="s">
        <v>687</v>
      </c>
    </row>
    <row r="142" spans="1:23" ht="83.25">
      <c r="A142" s="133" t="s">
        <v>313</v>
      </c>
      <c r="B142" s="274" t="s">
        <v>226</v>
      </c>
      <c r="C142" s="133" t="s">
        <v>690</v>
      </c>
      <c r="D142" s="133" t="s">
        <v>691</v>
      </c>
      <c r="E142" s="134" t="s">
        <v>692</v>
      </c>
      <c r="F142" s="133" t="s">
        <v>693</v>
      </c>
      <c r="G142" s="133" t="str">
        <f t="shared" si="5"/>
        <v>ovs-cp-lnk-01</v>
      </c>
      <c r="H142" s="133" t="s">
        <v>333</v>
      </c>
      <c r="I142" s="133" t="s">
        <v>365</v>
      </c>
      <c r="J142" s="177" t="s">
        <v>694</v>
      </c>
      <c r="K142" s="175" t="s">
        <v>695</v>
      </c>
      <c r="L142" s="175" t="s">
        <v>696</v>
      </c>
      <c r="M142" s="175" t="s">
        <v>256</v>
      </c>
      <c r="N142" s="190">
        <v>20000</v>
      </c>
      <c r="O142" s="190">
        <v>1800</v>
      </c>
      <c r="P142" s="169"/>
      <c r="Q142" s="134" t="s">
        <v>697</v>
      </c>
      <c r="R142" s="173" t="s">
        <v>698</v>
      </c>
      <c r="S142" s="173" t="s">
        <v>669</v>
      </c>
      <c r="T142" s="134" t="s">
        <v>670</v>
      </c>
      <c r="U142" s="133" t="s">
        <v>265</v>
      </c>
      <c r="V142" s="133" t="s">
        <v>266</v>
      </c>
      <c r="W142" s="153" t="s">
        <v>699</v>
      </c>
    </row>
    <row r="143" spans="1:23" ht="117">
      <c r="A143" s="133" t="s">
        <v>313</v>
      </c>
      <c r="B143" s="274" t="s">
        <v>226</v>
      </c>
      <c r="C143" s="133" t="s">
        <v>690</v>
      </c>
      <c r="D143" s="133" t="s">
        <v>691</v>
      </c>
      <c r="E143" s="134" t="s">
        <v>692</v>
      </c>
      <c r="F143" s="133" t="s">
        <v>700</v>
      </c>
      <c r="G143" s="133" t="str">
        <f t="shared" si="5"/>
        <v>ovs-cp-lnk-01</v>
      </c>
      <c r="H143" s="133" t="s">
        <v>333</v>
      </c>
      <c r="I143" s="133" t="s">
        <v>380</v>
      </c>
      <c r="J143" s="177" t="s">
        <v>694</v>
      </c>
      <c r="K143" s="175" t="s">
        <v>695</v>
      </c>
      <c r="L143" s="175" t="s">
        <v>696</v>
      </c>
      <c r="M143" s="175" t="s">
        <v>256</v>
      </c>
      <c r="N143" s="190">
        <v>27000</v>
      </c>
      <c r="O143" s="190">
        <v>2250</v>
      </c>
      <c r="P143" s="169"/>
      <c r="Q143" s="134" t="s">
        <v>697</v>
      </c>
      <c r="R143" s="173" t="s">
        <v>698</v>
      </c>
      <c r="S143" s="173" t="s">
        <v>669</v>
      </c>
      <c r="T143" s="134" t="s">
        <v>670</v>
      </c>
      <c r="U143" s="133" t="s">
        <v>265</v>
      </c>
      <c r="V143" s="133" t="s">
        <v>266</v>
      </c>
      <c r="W143" s="153" t="s">
        <v>701</v>
      </c>
    </row>
    <row r="144" spans="1:23" ht="117">
      <c r="A144" s="133" t="s">
        <v>313</v>
      </c>
      <c r="B144" s="274" t="s">
        <v>226</v>
      </c>
      <c r="C144" s="133" t="s">
        <v>690</v>
      </c>
      <c r="D144" s="133" t="s">
        <v>691</v>
      </c>
      <c r="E144" s="134" t="s">
        <v>692</v>
      </c>
      <c r="F144" s="133" t="s">
        <v>702</v>
      </c>
      <c r="G144" s="133" t="str">
        <f t="shared" si="5"/>
        <v>ovs-cp-lnk-01</v>
      </c>
      <c r="H144" s="133" t="s">
        <v>333</v>
      </c>
      <c r="I144" s="133" t="s">
        <v>334</v>
      </c>
      <c r="J144" s="177" t="s">
        <v>694</v>
      </c>
      <c r="K144" s="175" t="s">
        <v>695</v>
      </c>
      <c r="L144" s="175" t="s">
        <v>696</v>
      </c>
      <c r="M144" s="175" t="s">
        <v>256</v>
      </c>
      <c r="N144" s="190">
        <v>27000</v>
      </c>
      <c r="O144" s="190">
        <v>2250</v>
      </c>
      <c r="P144" s="169"/>
      <c r="Q144" s="134" t="s">
        <v>697</v>
      </c>
      <c r="R144" s="173" t="s">
        <v>698</v>
      </c>
      <c r="S144" s="173" t="s">
        <v>669</v>
      </c>
      <c r="T144" s="134" t="s">
        <v>670</v>
      </c>
      <c r="U144" s="133" t="s">
        <v>265</v>
      </c>
      <c r="V144" s="133" t="s">
        <v>266</v>
      </c>
      <c r="W144" s="153" t="s">
        <v>703</v>
      </c>
    </row>
    <row r="145" spans="1:23" ht="66.75">
      <c r="A145" s="138" t="s">
        <v>313</v>
      </c>
      <c r="B145" s="274" t="s">
        <v>226</v>
      </c>
      <c r="C145" s="138" t="s">
        <v>690</v>
      </c>
      <c r="D145" s="138" t="s">
        <v>704</v>
      </c>
      <c r="E145" s="139" t="s">
        <v>705</v>
      </c>
      <c r="F145" s="138" t="s">
        <v>706</v>
      </c>
      <c r="G145" s="138" t="str">
        <f t="shared" si="5"/>
        <v>ovs-lx-kma-01</v>
      </c>
      <c r="H145" s="138" t="s">
        <v>333</v>
      </c>
      <c r="I145" s="138" t="s">
        <v>380</v>
      </c>
      <c r="J145" s="201" t="s">
        <v>707</v>
      </c>
      <c r="K145" s="203" t="s">
        <v>708</v>
      </c>
      <c r="L145" s="203" t="s">
        <v>525</v>
      </c>
      <c r="M145" s="175" t="s">
        <v>256</v>
      </c>
      <c r="N145" s="195">
        <v>0</v>
      </c>
      <c r="O145" s="181">
        <v>0</v>
      </c>
      <c r="P145" s="171"/>
      <c r="Q145" s="139" t="s">
        <v>709</v>
      </c>
      <c r="R145" s="139" t="s">
        <v>710</v>
      </c>
      <c r="S145" s="173" t="s">
        <v>669</v>
      </c>
      <c r="T145" s="134" t="s">
        <v>670</v>
      </c>
      <c r="U145" s="155" t="s">
        <v>257</v>
      </c>
      <c r="V145" s="155" t="s">
        <v>258</v>
      </c>
      <c r="W145" s="155"/>
    </row>
    <row r="146" spans="1:23" ht="66.75">
      <c r="A146" s="138" t="s">
        <v>313</v>
      </c>
      <c r="B146" s="274" t="s">
        <v>226</v>
      </c>
      <c r="C146" s="138" t="s">
        <v>690</v>
      </c>
      <c r="D146" s="138" t="s">
        <v>704</v>
      </c>
      <c r="E146" s="139" t="s">
        <v>705</v>
      </c>
      <c r="F146" s="138" t="s">
        <v>711</v>
      </c>
      <c r="G146" s="138" t="str">
        <f t="shared" si="5"/>
        <v>ovs-lx-kma-01</v>
      </c>
      <c r="H146" s="138" t="s">
        <v>333</v>
      </c>
      <c r="I146" s="138" t="s">
        <v>334</v>
      </c>
      <c r="J146" s="201" t="s">
        <v>707</v>
      </c>
      <c r="K146" s="203" t="s">
        <v>708</v>
      </c>
      <c r="L146" s="203" t="s">
        <v>525</v>
      </c>
      <c r="M146" s="175" t="s">
        <v>256</v>
      </c>
      <c r="N146" s="195">
        <v>0</v>
      </c>
      <c r="O146" s="181">
        <v>0</v>
      </c>
      <c r="P146" s="171"/>
      <c r="Q146" s="139" t="s">
        <v>709</v>
      </c>
      <c r="R146" s="174" t="s">
        <v>710</v>
      </c>
      <c r="S146" s="173" t="s">
        <v>669</v>
      </c>
      <c r="T146" s="134" t="s">
        <v>670</v>
      </c>
      <c r="U146" s="155" t="s">
        <v>257</v>
      </c>
      <c r="V146" s="155" t="s">
        <v>258</v>
      </c>
      <c r="W146" s="155"/>
    </row>
    <row r="147" spans="1:23" ht="66.75">
      <c r="A147" s="133" t="s">
        <v>313</v>
      </c>
      <c r="B147" s="274" t="s">
        <v>226</v>
      </c>
      <c r="C147" s="133" t="s">
        <v>690</v>
      </c>
      <c r="D147" s="133" t="s">
        <v>704</v>
      </c>
      <c r="E147" s="134" t="s">
        <v>712</v>
      </c>
      <c r="F147" s="133" t="s">
        <v>713</v>
      </c>
      <c r="G147" s="133" t="str">
        <f t="shared" si="5"/>
        <v>ovs-lx-kmb-01</v>
      </c>
      <c r="H147" s="133" t="s">
        <v>333</v>
      </c>
      <c r="I147" s="133" t="s">
        <v>365</v>
      </c>
      <c r="J147" s="177" t="s">
        <v>707</v>
      </c>
      <c r="K147" s="175" t="s">
        <v>708</v>
      </c>
      <c r="L147" s="209"/>
      <c r="M147" s="175" t="s">
        <v>256</v>
      </c>
      <c r="N147" s="190">
        <v>0</v>
      </c>
      <c r="O147" s="190">
        <v>0</v>
      </c>
      <c r="P147" s="169"/>
      <c r="Q147" s="134" t="s">
        <v>709</v>
      </c>
      <c r="R147" s="134" t="s">
        <v>714</v>
      </c>
      <c r="S147" s="173" t="s">
        <v>669</v>
      </c>
      <c r="T147" s="134" t="s">
        <v>670</v>
      </c>
      <c r="U147" s="133" t="s">
        <v>265</v>
      </c>
      <c r="V147" s="133" t="s">
        <v>266</v>
      </c>
    </row>
    <row r="148" spans="1:23" ht="66.75">
      <c r="A148" s="133" t="s">
        <v>313</v>
      </c>
      <c r="B148" s="274" t="s">
        <v>226</v>
      </c>
      <c r="C148" s="133" t="s">
        <v>690</v>
      </c>
      <c r="D148" s="133" t="s">
        <v>704</v>
      </c>
      <c r="E148" s="134" t="s">
        <v>712</v>
      </c>
      <c r="F148" s="133" t="s">
        <v>715</v>
      </c>
      <c r="G148" s="133" t="str">
        <f t="shared" si="5"/>
        <v>ovs-lx-kmb-01</v>
      </c>
      <c r="H148" s="133" t="s">
        <v>333</v>
      </c>
      <c r="I148" s="133" t="s">
        <v>380</v>
      </c>
      <c r="J148" s="177" t="s">
        <v>707</v>
      </c>
      <c r="K148" s="175" t="s">
        <v>708</v>
      </c>
      <c r="L148" s="209"/>
      <c r="M148" s="175" t="s">
        <v>256</v>
      </c>
      <c r="N148" s="190">
        <v>0</v>
      </c>
      <c r="O148" s="190">
        <v>0</v>
      </c>
      <c r="P148" s="169"/>
      <c r="Q148" s="134" t="s">
        <v>709</v>
      </c>
      <c r="R148" s="134" t="s">
        <v>714</v>
      </c>
      <c r="S148" s="173" t="s">
        <v>669</v>
      </c>
      <c r="T148" s="134" t="s">
        <v>670</v>
      </c>
      <c r="U148" s="133" t="s">
        <v>265</v>
      </c>
      <c r="V148" s="133" t="s">
        <v>266</v>
      </c>
    </row>
    <row r="149" spans="1:23" ht="66.75">
      <c r="A149" s="133" t="s">
        <v>313</v>
      </c>
      <c r="B149" s="274" t="s">
        <v>226</v>
      </c>
      <c r="C149" s="133" t="s">
        <v>690</v>
      </c>
      <c r="D149" s="133" t="s">
        <v>704</v>
      </c>
      <c r="E149" s="134" t="s">
        <v>712</v>
      </c>
      <c r="F149" s="133" t="s">
        <v>716</v>
      </c>
      <c r="G149" s="133" t="str">
        <f t="shared" si="5"/>
        <v>ovs-lx-kmb-01</v>
      </c>
      <c r="H149" s="133" t="s">
        <v>333</v>
      </c>
      <c r="I149" s="133" t="s">
        <v>334</v>
      </c>
      <c r="J149" s="177" t="s">
        <v>707</v>
      </c>
      <c r="K149" s="175" t="s">
        <v>708</v>
      </c>
      <c r="L149" s="209"/>
      <c r="M149" s="175" t="s">
        <v>256</v>
      </c>
      <c r="N149" s="190">
        <v>930.43</v>
      </c>
      <c r="O149" s="190">
        <v>400</v>
      </c>
      <c r="P149" s="169"/>
      <c r="Q149" s="134" t="s">
        <v>709</v>
      </c>
      <c r="R149" s="134" t="s">
        <v>714</v>
      </c>
      <c r="S149" s="173" t="s">
        <v>669</v>
      </c>
      <c r="T149" s="134" t="s">
        <v>670</v>
      </c>
      <c r="U149" s="133" t="s">
        <v>265</v>
      </c>
      <c r="V149" s="133" t="s">
        <v>266</v>
      </c>
    </row>
    <row r="150" spans="1:23" ht="100.5">
      <c r="A150" s="133" t="s">
        <v>313</v>
      </c>
      <c r="B150" s="274" t="s">
        <v>226</v>
      </c>
      <c r="C150" s="133" t="s">
        <v>690</v>
      </c>
      <c r="D150" s="133" t="s">
        <v>691</v>
      </c>
      <c r="E150" s="134" t="s">
        <v>717</v>
      </c>
      <c r="F150" s="133" t="s">
        <v>718</v>
      </c>
      <c r="G150" s="133" t="str">
        <f t="shared" si="5"/>
        <v>ovs-lx-vmb-01</v>
      </c>
      <c r="H150" s="133" t="s">
        <v>333</v>
      </c>
      <c r="I150" s="133" t="s">
        <v>365</v>
      </c>
      <c r="J150" s="177" t="s">
        <v>719</v>
      </c>
      <c r="K150" s="175" t="s">
        <v>720</v>
      </c>
      <c r="L150" s="209"/>
      <c r="M150" s="175" t="s">
        <v>256</v>
      </c>
      <c r="N150" s="190">
        <v>63950.38</v>
      </c>
      <c r="O150" s="190">
        <v>5329.2</v>
      </c>
      <c r="P150" s="163"/>
      <c r="Q150" s="134" t="s">
        <v>721</v>
      </c>
      <c r="R150" s="134" t="s">
        <v>722</v>
      </c>
      <c r="S150" s="173" t="s">
        <v>669</v>
      </c>
      <c r="T150" s="134" t="s">
        <v>670</v>
      </c>
      <c r="U150" s="133" t="s">
        <v>265</v>
      </c>
      <c r="V150" s="133" t="s">
        <v>266</v>
      </c>
      <c r="W150" s="153" t="s">
        <v>723</v>
      </c>
    </row>
    <row r="151" spans="1:23" ht="100.5">
      <c r="A151" s="133" t="s">
        <v>313</v>
      </c>
      <c r="B151" s="274" t="s">
        <v>226</v>
      </c>
      <c r="C151" s="133" t="s">
        <v>690</v>
      </c>
      <c r="D151" s="133" t="s">
        <v>691</v>
      </c>
      <c r="E151" s="134" t="s">
        <v>717</v>
      </c>
      <c r="F151" s="133" t="s">
        <v>724</v>
      </c>
      <c r="G151" s="133" t="str">
        <f t="shared" si="5"/>
        <v>ovs-lx-vmb-01</v>
      </c>
      <c r="H151" s="133" t="s">
        <v>333</v>
      </c>
      <c r="I151" s="133" t="s">
        <v>380</v>
      </c>
      <c r="J151" s="177" t="s">
        <v>725</v>
      </c>
      <c r="K151" s="175" t="s">
        <v>720</v>
      </c>
      <c r="L151" s="209"/>
      <c r="M151" s="175" t="s">
        <v>256</v>
      </c>
      <c r="N151" s="190">
        <v>34937.61</v>
      </c>
      <c r="O151" s="190">
        <v>2911.47</v>
      </c>
      <c r="P151" s="163"/>
      <c r="Q151" s="134" t="s">
        <v>721</v>
      </c>
      <c r="R151" s="134" t="s">
        <v>722</v>
      </c>
      <c r="S151" s="173" t="s">
        <v>669</v>
      </c>
      <c r="T151" s="134" t="s">
        <v>670</v>
      </c>
      <c r="U151" s="133" t="s">
        <v>265</v>
      </c>
      <c r="V151" s="133" t="s">
        <v>266</v>
      </c>
      <c r="W151" s="153" t="s">
        <v>723</v>
      </c>
    </row>
    <row r="152" spans="1:23" ht="100.5">
      <c r="A152" s="133" t="s">
        <v>313</v>
      </c>
      <c r="B152" s="274" t="s">
        <v>226</v>
      </c>
      <c r="C152" s="133" t="s">
        <v>690</v>
      </c>
      <c r="D152" s="133" t="s">
        <v>691</v>
      </c>
      <c r="E152" s="134" t="s">
        <v>717</v>
      </c>
      <c r="F152" s="133" t="s">
        <v>726</v>
      </c>
      <c r="G152" s="133" t="str">
        <f t="shared" si="5"/>
        <v>ovs-lx-vmb-01</v>
      </c>
      <c r="H152" s="133" t="s">
        <v>333</v>
      </c>
      <c r="I152" s="133" t="s">
        <v>334</v>
      </c>
      <c r="J152" s="177" t="s">
        <v>725</v>
      </c>
      <c r="K152" s="175" t="s">
        <v>720</v>
      </c>
      <c r="L152" s="209"/>
      <c r="M152" s="175" t="s">
        <v>256</v>
      </c>
      <c r="N152" s="190">
        <v>27507.98</v>
      </c>
      <c r="O152" s="190">
        <v>2292.33</v>
      </c>
      <c r="P152" s="163"/>
      <c r="Q152" s="134" t="s">
        <v>721</v>
      </c>
      <c r="R152" s="134" t="s">
        <v>722</v>
      </c>
      <c r="S152" s="173" t="s">
        <v>669</v>
      </c>
      <c r="T152" s="134" t="s">
        <v>670</v>
      </c>
      <c r="U152" s="133" t="s">
        <v>265</v>
      </c>
      <c r="V152" s="133" t="s">
        <v>266</v>
      </c>
      <c r="W152" s="153" t="s">
        <v>723</v>
      </c>
    </row>
    <row r="153" spans="1:23" ht="66.75">
      <c r="A153" s="133" t="s">
        <v>313</v>
      </c>
      <c r="B153" s="274" t="s">
        <v>314</v>
      </c>
      <c r="C153" s="133" t="s">
        <v>315</v>
      </c>
      <c r="D153" s="133" t="s">
        <v>727</v>
      </c>
      <c r="E153" s="134" t="s">
        <v>728</v>
      </c>
      <c r="F153" s="133" t="s">
        <v>729</v>
      </c>
      <c r="G153" s="133" t="str">
        <f t="shared" si="5"/>
        <v>ovs-lx-vap-01</v>
      </c>
      <c r="H153" s="133" t="s">
        <v>333</v>
      </c>
      <c r="I153" s="133" t="s">
        <v>365</v>
      </c>
      <c r="J153" s="177" t="s">
        <v>730</v>
      </c>
      <c r="K153" s="175" t="s">
        <v>731</v>
      </c>
      <c r="L153" s="209"/>
      <c r="M153" s="175" t="s">
        <v>256</v>
      </c>
      <c r="N153" s="190">
        <f>O153*12</f>
        <v>132000</v>
      </c>
      <c r="O153" s="190">
        <v>11000</v>
      </c>
      <c r="P153" s="163" t="s">
        <v>732</v>
      </c>
      <c r="Q153" s="134" t="s">
        <v>733</v>
      </c>
      <c r="R153" s="173" t="s">
        <v>734</v>
      </c>
      <c r="S153" s="173" t="s">
        <v>325</v>
      </c>
      <c r="T153" s="134" t="s">
        <v>325</v>
      </c>
      <c r="U153" s="133" t="s">
        <v>265</v>
      </c>
      <c r="V153" s="133" t="s">
        <v>266</v>
      </c>
    </row>
    <row r="154" spans="1:23" ht="66.75">
      <c r="A154" s="133" t="s">
        <v>313</v>
      </c>
      <c r="B154" s="274" t="s">
        <v>314</v>
      </c>
      <c r="C154" s="133" t="s">
        <v>315</v>
      </c>
      <c r="D154" s="133" t="s">
        <v>727</v>
      </c>
      <c r="E154" s="134" t="s">
        <v>735</v>
      </c>
      <c r="F154" s="133" t="s">
        <v>736</v>
      </c>
      <c r="G154" s="133" t="str">
        <f t="shared" si="5"/>
        <v>ovs-lx-vap-01</v>
      </c>
      <c r="H154" s="133" t="s">
        <v>333</v>
      </c>
      <c r="I154" s="133" t="s">
        <v>334</v>
      </c>
      <c r="J154" s="177" t="s">
        <v>730</v>
      </c>
      <c r="K154" s="175" t="s">
        <v>731</v>
      </c>
      <c r="L154" s="209"/>
      <c r="M154" s="175" t="s">
        <v>256</v>
      </c>
      <c r="N154" s="190">
        <v>838.36</v>
      </c>
      <c r="O154" s="190">
        <v>69.86</v>
      </c>
      <c r="P154" s="163"/>
      <c r="Q154" s="134" t="s">
        <v>733</v>
      </c>
      <c r="R154" s="173" t="s">
        <v>734</v>
      </c>
      <c r="S154" s="173" t="s">
        <v>325</v>
      </c>
      <c r="T154" s="134" t="s">
        <v>325</v>
      </c>
      <c r="U154" s="133" t="s">
        <v>265</v>
      </c>
      <c r="V154" s="133" t="s">
        <v>266</v>
      </c>
    </row>
    <row r="155" spans="1:23" ht="66.75">
      <c r="A155" s="133" t="s">
        <v>313</v>
      </c>
      <c r="B155" s="274" t="s">
        <v>314</v>
      </c>
      <c r="C155" s="133" t="s">
        <v>315</v>
      </c>
      <c r="D155" s="133" t="s">
        <v>727</v>
      </c>
      <c r="E155" s="134" t="s">
        <v>728</v>
      </c>
      <c r="F155" s="133" t="s">
        <v>295</v>
      </c>
      <c r="G155" s="133" t="str">
        <f t="shared" si="5"/>
        <v>ovs-lx-vap-01</v>
      </c>
      <c r="H155" s="133" t="s">
        <v>333</v>
      </c>
      <c r="I155" s="133" t="s">
        <v>343</v>
      </c>
      <c r="J155" s="177" t="s">
        <v>730</v>
      </c>
      <c r="K155" s="175" t="s">
        <v>731</v>
      </c>
      <c r="L155" s="209"/>
      <c r="M155" s="175" t="s">
        <v>256</v>
      </c>
      <c r="N155" s="190">
        <v>838.36</v>
      </c>
      <c r="O155" s="190">
        <v>69.86</v>
      </c>
      <c r="P155" s="169"/>
      <c r="Q155" s="134" t="s">
        <v>733</v>
      </c>
      <c r="R155" s="173" t="s">
        <v>734</v>
      </c>
      <c r="S155" s="173" t="s">
        <v>325</v>
      </c>
      <c r="T155" s="134" t="s">
        <v>325</v>
      </c>
      <c r="U155" s="133" t="s">
        <v>265</v>
      </c>
      <c r="V155" s="133" t="s">
        <v>266</v>
      </c>
    </row>
    <row r="156" spans="1:23" ht="66.75">
      <c r="A156" s="133" t="s">
        <v>313</v>
      </c>
      <c r="B156" s="274" t="s">
        <v>314</v>
      </c>
      <c r="C156" s="133" t="s">
        <v>315</v>
      </c>
      <c r="D156" s="133" t="s">
        <v>727</v>
      </c>
      <c r="E156" s="134" t="s">
        <v>737</v>
      </c>
      <c r="F156" s="133" t="s">
        <v>738</v>
      </c>
      <c r="G156" s="133" t="str">
        <f t="shared" si="5"/>
        <v>ovs-lx-vdo-01</v>
      </c>
      <c r="H156" s="133" t="s">
        <v>333</v>
      </c>
      <c r="I156" s="133" t="s">
        <v>365</v>
      </c>
      <c r="J156" s="177" t="s">
        <v>730</v>
      </c>
      <c r="K156" s="175" t="s">
        <v>731</v>
      </c>
      <c r="L156" s="175" t="s">
        <v>389</v>
      </c>
      <c r="M156" s="175" t="s">
        <v>256</v>
      </c>
      <c r="N156" s="190">
        <f>O156*12</f>
        <v>108000</v>
      </c>
      <c r="O156" s="190">
        <v>9000</v>
      </c>
      <c r="P156" s="163" t="s">
        <v>739</v>
      </c>
      <c r="Q156" s="134" t="s">
        <v>740</v>
      </c>
      <c r="R156" s="173" t="s">
        <v>734</v>
      </c>
      <c r="S156" s="173" t="s">
        <v>325</v>
      </c>
      <c r="T156" s="134" t="s">
        <v>325</v>
      </c>
      <c r="U156" s="133" t="s">
        <v>265</v>
      </c>
      <c r="V156" s="133" t="s">
        <v>266</v>
      </c>
    </row>
    <row r="157" spans="1:23" ht="66.75">
      <c r="A157" s="133" t="s">
        <v>313</v>
      </c>
      <c r="B157" s="274" t="s">
        <v>314</v>
      </c>
      <c r="C157" s="133" t="s">
        <v>315</v>
      </c>
      <c r="D157" s="133" t="s">
        <v>727</v>
      </c>
      <c r="E157" s="134" t="s">
        <v>737</v>
      </c>
      <c r="F157" s="133" t="s">
        <v>741</v>
      </c>
      <c r="G157" s="133" t="str">
        <f t="shared" si="5"/>
        <v>ovs-lx-vdo-01</v>
      </c>
      <c r="H157" s="133" t="s">
        <v>333</v>
      </c>
      <c r="I157" s="133" t="s">
        <v>380</v>
      </c>
      <c r="J157" s="177" t="s">
        <v>730</v>
      </c>
      <c r="K157" s="175" t="s">
        <v>731</v>
      </c>
      <c r="L157" s="175" t="s">
        <v>389</v>
      </c>
      <c r="M157" s="175" t="s">
        <v>256</v>
      </c>
      <c r="N157" s="190">
        <v>12686.85</v>
      </c>
      <c r="O157" s="190">
        <v>1057.24</v>
      </c>
      <c r="P157" s="163"/>
      <c r="Q157" s="134" t="s">
        <v>740</v>
      </c>
      <c r="R157" s="173" t="s">
        <v>734</v>
      </c>
      <c r="S157" s="173" t="s">
        <v>325</v>
      </c>
      <c r="T157" s="134" t="s">
        <v>325</v>
      </c>
      <c r="U157" s="133" t="s">
        <v>265</v>
      </c>
      <c r="V157" s="133" t="s">
        <v>266</v>
      </c>
    </row>
    <row r="158" spans="1:23" ht="66.75">
      <c r="A158" s="133" t="s">
        <v>313</v>
      </c>
      <c r="B158" s="274" t="s">
        <v>314</v>
      </c>
      <c r="C158" s="133" t="s">
        <v>315</v>
      </c>
      <c r="D158" s="133" t="s">
        <v>727</v>
      </c>
      <c r="E158" s="134" t="s">
        <v>737</v>
      </c>
      <c r="F158" s="133" t="s">
        <v>742</v>
      </c>
      <c r="G158" s="133" t="str">
        <f t="shared" si="5"/>
        <v>ovs-lx-vdo-01</v>
      </c>
      <c r="H158" s="133" t="s">
        <v>333</v>
      </c>
      <c r="I158" s="133" t="s">
        <v>334</v>
      </c>
      <c r="J158" s="177" t="s">
        <v>730</v>
      </c>
      <c r="K158" s="175" t="s">
        <v>731</v>
      </c>
      <c r="L158" s="175" t="s">
        <v>389</v>
      </c>
      <c r="M158" s="175" t="s">
        <v>256</v>
      </c>
      <c r="N158" s="190">
        <v>17029.28</v>
      </c>
      <c r="O158" s="190">
        <v>1419.11</v>
      </c>
      <c r="P158" s="163"/>
      <c r="Q158" s="134" t="s">
        <v>740</v>
      </c>
      <c r="R158" s="173" t="s">
        <v>734</v>
      </c>
      <c r="S158" s="173" t="s">
        <v>325</v>
      </c>
      <c r="T158" s="134" t="s">
        <v>325</v>
      </c>
      <c r="U158" s="133" t="s">
        <v>265</v>
      </c>
      <c r="V158" s="133" t="s">
        <v>266</v>
      </c>
    </row>
    <row r="159" spans="1:23" ht="134.25">
      <c r="A159" s="133" t="s">
        <v>313</v>
      </c>
      <c r="B159" s="274" t="s">
        <v>226</v>
      </c>
      <c r="C159" s="133" t="s">
        <v>506</v>
      </c>
      <c r="D159" s="133" t="s">
        <v>507</v>
      </c>
      <c r="E159" s="134" t="s">
        <v>743</v>
      </c>
      <c r="F159" s="133" t="s">
        <v>744</v>
      </c>
      <c r="G159" s="133" t="str">
        <f t="shared" si="5"/>
        <v>otr-cp-b2e-01</v>
      </c>
      <c r="H159" s="133" t="s">
        <v>473</v>
      </c>
      <c r="I159" s="133" t="s">
        <v>474</v>
      </c>
      <c r="J159" s="177" t="s">
        <v>745</v>
      </c>
      <c r="K159" s="175" t="s">
        <v>746</v>
      </c>
      <c r="L159" s="175" t="s">
        <v>747</v>
      </c>
      <c r="M159" s="175" t="s">
        <v>256</v>
      </c>
      <c r="N159" s="190">
        <v>14400</v>
      </c>
      <c r="O159" s="190">
        <v>1200</v>
      </c>
      <c r="P159" s="169"/>
      <c r="Q159" s="135" t="s">
        <v>748</v>
      </c>
      <c r="R159" s="134" t="s">
        <v>749</v>
      </c>
      <c r="S159" s="173" t="s">
        <v>515</v>
      </c>
      <c r="T159" s="134" t="s">
        <v>501</v>
      </c>
      <c r="U159" s="133" t="s">
        <v>265</v>
      </c>
      <c r="V159" s="133" t="s">
        <v>266</v>
      </c>
    </row>
    <row r="160" spans="1:23" ht="134.25">
      <c r="A160" s="133" t="s">
        <v>313</v>
      </c>
      <c r="B160" s="274" t="s">
        <v>226</v>
      </c>
      <c r="C160" s="133" t="s">
        <v>506</v>
      </c>
      <c r="D160" s="133" t="s">
        <v>507</v>
      </c>
      <c r="E160" s="134" t="s">
        <v>750</v>
      </c>
      <c r="F160" s="133" t="s">
        <v>751</v>
      </c>
      <c r="G160" s="133" t="str">
        <f t="shared" si="5"/>
        <v>otr-cp-b2e-01</v>
      </c>
      <c r="H160" s="133" t="s">
        <v>473</v>
      </c>
      <c r="I160" s="133" t="s">
        <v>686</v>
      </c>
      <c r="J160" s="177" t="s">
        <v>752</v>
      </c>
      <c r="K160" s="175" t="s">
        <v>746</v>
      </c>
      <c r="L160" s="175" t="s">
        <v>747</v>
      </c>
      <c r="M160" s="175" t="s">
        <v>256</v>
      </c>
      <c r="N160" s="190">
        <v>12000</v>
      </c>
      <c r="O160" s="190">
        <v>1000</v>
      </c>
      <c r="P160" s="169"/>
      <c r="Q160" s="135" t="s">
        <v>748</v>
      </c>
      <c r="R160" s="134" t="s">
        <v>749</v>
      </c>
      <c r="S160" s="173" t="s">
        <v>515</v>
      </c>
      <c r="T160" s="134" t="s">
        <v>501</v>
      </c>
      <c r="U160" s="133" t="s">
        <v>265</v>
      </c>
      <c r="V160" s="133" t="s">
        <v>266</v>
      </c>
    </row>
    <row r="161" spans="1:23" ht="134.25">
      <c r="A161" s="133" t="s">
        <v>313</v>
      </c>
      <c r="B161" s="274" t="s">
        <v>226</v>
      </c>
      <c r="C161" s="133" t="s">
        <v>506</v>
      </c>
      <c r="D161" s="133" t="s">
        <v>507</v>
      </c>
      <c r="E161" s="134" t="s">
        <v>750</v>
      </c>
      <c r="F161" s="133" t="s">
        <v>753</v>
      </c>
      <c r="G161" s="133" t="str">
        <f t="shared" si="5"/>
        <v>otr-cp-b2e-01</v>
      </c>
      <c r="H161" s="133" t="s">
        <v>473</v>
      </c>
      <c r="I161" s="133" t="s">
        <v>689</v>
      </c>
      <c r="J161" s="177" t="s">
        <v>752</v>
      </c>
      <c r="K161" s="175" t="s">
        <v>746</v>
      </c>
      <c r="L161" s="175" t="s">
        <v>747</v>
      </c>
      <c r="M161" s="175" t="s">
        <v>256</v>
      </c>
      <c r="N161" s="190">
        <v>12000</v>
      </c>
      <c r="O161" s="190">
        <v>1000</v>
      </c>
      <c r="P161" s="169"/>
      <c r="Q161" s="135" t="s">
        <v>748</v>
      </c>
      <c r="R161" s="134" t="s">
        <v>749</v>
      </c>
      <c r="S161" s="173" t="s">
        <v>515</v>
      </c>
      <c r="T161" s="134" t="s">
        <v>501</v>
      </c>
      <c r="U161" s="133" t="s">
        <v>265</v>
      </c>
      <c r="V161" s="133" t="s">
        <v>266</v>
      </c>
    </row>
    <row r="162" spans="1:23" ht="168">
      <c r="A162" s="133" t="s">
        <v>313</v>
      </c>
      <c r="B162" s="274" t="s">
        <v>226</v>
      </c>
      <c r="C162" s="133" t="s">
        <v>506</v>
      </c>
      <c r="D162" s="133" t="s">
        <v>754</v>
      </c>
      <c r="E162" s="134" t="s">
        <v>755</v>
      </c>
      <c r="F162" s="133" t="s">
        <v>756</v>
      </c>
      <c r="G162" s="133" t="str">
        <f t="shared" si="5"/>
        <v>hrd-lx-fnd-01</v>
      </c>
      <c r="H162" s="133" t="s">
        <v>333</v>
      </c>
      <c r="I162" s="133" t="s">
        <v>365</v>
      </c>
      <c r="J162" s="177" t="s">
        <v>757</v>
      </c>
      <c r="K162" s="175" t="s">
        <v>758</v>
      </c>
      <c r="L162" s="175" t="s">
        <v>759</v>
      </c>
      <c r="M162" s="175" t="s">
        <v>256</v>
      </c>
      <c r="N162" s="190">
        <v>0</v>
      </c>
      <c r="O162" s="190">
        <v>0</v>
      </c>
      <c r="P162" s="169"/>
      <c r="Q162" s="136" t="s">
        <v>760</v>
      </c>
      <c r="R162" s="134" t="s">
        <v>761</v>
      </c>
      <c r="S162" s="173" t="s">
        <v>515</v>
      </c>
      <c r="T162" s="134" t="s">
        <v>501</v>
      </c>
      <c r="U162" s="133" t="s">
        <v>265</v>
      </c>
      <c r="V162" s="133" t="s">
        <v>266</v>
      </c>
    </row>
    <row r="163" spans="1:23" ht="168">
      <c r="A163" s="133" t="s">
        <v>313</v>
      </c>
      <c r="B163" s="274" t="s">
        <v>226</v>
      </c>
      <c r="C163" s="133" t="s">
        <v>506</v>
      </c>
      <c r="D163" s="133" t="s">
        <v>754</v>
      </c>
      <c r="E163" s="134" t="s">
        <v>755</v>
      </c>
      <c r="F163" s="133" t="s">
        <v>762</v>
      </c>
      <c r="G163" s="133" t="str">
        <f t="shared" si="5"/>
        <v>hrd-lx-fnd-01</v>
      </c>
      <c r="H163" s="133" t="s">
        <v>333</v>
      </c>
      <c r="I163" s="133" t="s">
        <v>380</v>
      </c>
      <c r="J163" s="177" t="s">
        <v>757</v>
      </c>
      <c r="K163" s="175" t="s">
        <v>758</v>
      </c>
      <c r="L163" s="175" t="s">
        <v>759</v>
      </c>
      <c r="M163" s="175" t="s">
        <v>256</v>
      </c>
      <c r="N163" s="190">
        <v>0</v>
      </c>
      <c r="O163" s="190">
        <v>0</v>
      </c>
      <c r="P163" s="169"/>
      <c r="Q163" s="136" t="s">
        <v>760</v>
      </c>
      <c r="R163" s="134" t="s">
        <v>761</v>
      </c>
      <c r="S163" s="173" t="s">
        <v>515</v>
      </c>
      <c r="T163" s="134" t="s">
        <v>501</v>
      </c>
      <c r="U163" s="133" t="s">
        <v>265</v>
      </c>
      <c r="V163" s="133" t="s">
        <v>266</v>
      </c>
    </row>
    <row r="164" spans="1:23" ht="168">
      <c r="A164" s="133" t="s">
        <v>313</v>
      </c>
      <c r="B164" s="274" t="s">
        <v>226</v>
      </c>
      <c r="C164" s="133" t="s">
        <v>506</v>
      </c>
      <c r="D164" s="133" t="s">
        <v>754</v>
      </c>
      <c r="E164" s="134" t="s">
        <v>755</v>
      </c>
      <c r="F164" s="133" t="s">
        <v>763</v>
      </c>
      <c r="G164" s="133" t="str">
        <f t="shared" si="5"/>
        <v>hrd-lx-fnd-01</v>
      </c>
      <c r="H164" s="133" t="s">
        <v>333</v>
      </c>
      <c r="I164" s="133" t="s">
        <v>334</v>
      </c>
      <c r="J164" s="177" t="s">
        <v>757</v>
      </c>
      <c r="K164" s="175" t="s">
        <v>758</v>
      </c>
      <c r="L164" s="175" t="s">
        <v>759</v>
      </c>
      <c r="M164" s="175" t="s">
        <v>256</v>
      </c>
      <c r="N164" s="190">
        <v>0</v>
      </c>
      <c r="O164" s="190">
        <v>0</v>
      </c>
      <c r="P164" s="169"/>
      <c r="Q164" s="136" t="s">
        <v>760</v>
      </c>
      <c r="R164" s="134" t="s">
        <v>761</v>
      </c>
      <c r="S164" s="173" t="s">
        <v>515</v>
      </c>
      <c r="T164" s="134" t="s">
        <v>501</v>
      </c>
      <c r="U164" s="133" t="s">
        <v>265</v>
      </c>
      <c r="V164" s="133" t="s">
        <v>266</v>
      </c>
    </row>
    <row r="165" spans="1:23" ht="134.25">
      <c r="A165" s="133" t="s">
        <v>313</v>
      </c>
      <c r="B165" s="274" t="s">
        <v>226</v>
      </c>
      <c r="C165" s="133" t="s">
        <v>506</v>
      </c>
      <c r="D165" s="133" t="s">
        <v>507</v>
      </c>
      <c r="E165" s="134" t="s">
        <v>764</v>
      </c>
      <c r="F165" s="133" t="s">
        <v>765</v>
      </c>
      <c r="G165" s="133" t="str">
        <f t="shared" si="5"/>
        <v>otr-nt-b2e-19</v>
      </c>
      <c r="H165" s="133" t="s">
        <v>333</v>
      </c>
      <c r="I165" s="133" t="s">
        <v>365</v>
      </c>
      <c r="J165" s="177" t="s">
        <v>766</v>
      </c>
      <c r="K165" s="175" t="s">
        <v>767</v>
      </c>
      <c r="L165" s="175" t="s">
        <v>389</v>
      </c>
      <c r="M165" s="175" t="s">
        <v>256</v>
      </c>
      <c r="N165" s="190">
        <v>9600</v>
      </c>
      <c r="O165" s="190">
        <v>800</v>
      </c>
      <c r="P165" s="169"/>
      <c r="Q165" s="135" t="s">
        <v>768</v>
      </c>
      <c r="R165" s="134" t="s">
        <v>769</v>
      </c>
      <c r="S165" s="173" t="s">
        <v>515</v>
      </c>
      <c r="T165" s="134" t="s">
        <v>501</v>
      </c>
      <c r="U165" s="133" t="s">
        <v>265</v>
      </c>
      <c r="V165" s="133" t="s">
        <v>266</v>
      </c>
    </row>
    <row r="166" spans="1:23" ht="134.25">
      <c r="A166" s="133" t="s">
        <v>313</v>
      </c>
      <c r="B166" s="274" t="s">
        <v>226</v>
      </c>
      <c r="C166" s="133" t="s">
        <v>506</v>
      </c>
      <c r="D166" s="133" t="s">
        <v>507</v>
      </c>
      <c r="E166" s="134" t="s">
        <v>764</v>
      </c>
      <c r="F166" s="133" t="s">
        <v>770</v>
      </c>
      <c r="G166" s="133" t="str">
        <f t="shared" si="5"/>
        <v>otr-nt-b2e-19</v>
      </c>
      <c r="H166" s="133" t="s">
        <v>333</v>
      </c>
      <c r="I166" s="133" t="s">
        <v>380</v>
      </c>
      <c r="J166" s="177" t="s">
        <v>771</v>
      </c>
      <c r="K166" s="175" t="s">
        <v>767</v>
      </c>
      <c r="L166" s="175" t="s">
        <v>389</v>
      </c>
      <c r="M166" s="175" t="s">
        <v>256</v>
      </c>
      <c r="N166" s="190">
        <v>9600</v>
      </c>
      <c r="O166" s="190">
        <v>800</v>
      </c>
      <c r="P166" s="169"/>
      <c r="Q166" s="135" t="s">
        <v>768</v>
      </c>
      <c r="R166" s="134" t="s">
        <v>769</v>
      </c>
      <c r="S166" s="173" t="s">
        <v>515</v>
      </c>
      <c r="T166" s="134" t="s">
        <v>501</v>
      </c>
      <c r="U166" s="133" t="s">
        <v>265</v>
      </c>
      <c r="V166" s="133" t="s">
        <v>266</v>
      </c>
    </row>
    <row r="167" spans="1:23" ht="134.25">
      <c r="A167" s="133" t="s">
        <v>313</v>
      </c>
      <c r="B167" s="274" t="s">
        <v>226</v>
      </c>
      <c r="C167" s="133" t="s">
        <v>506</v>
      </c>
      <c r="D167" s="133" t="s">
        <v>507</v>
      </c>
      <c r="E167" s="134" t="s">
        <v>764</v>
      </c>
      <c r="F167" s="133" t="s">
        <v>772</v>
      </c>
      <c r="G167" s="133" t="str">
        <f t="shared" si="5"/>
        <v>otr-nt-b2e-19</v>
      </c>
      <c r="H167" s="133" t="s">
        <v>333</v>
      </c>
      <c r="I167" s="133" t="s">
        <v>334</v>
      </c>
      <c r="J167" s="177" t="s">
        <v>771</v>
      </c>
      <c r="K167" s="175" t="s">
        <v>767</v>
      </c>
      <c r="L167" s="175" t="s">
        <v>389</v>
      </c>
      <c r="M167" s="175" t="s">
        <v>256</v>
      </c>
      <c r="N167" s="190">
        <v>9600</v>
      </c>
      <c r="O167" s="190">
        <v>800</v>
      </c>
      <c r="P167" s="169"/>
      <c r="Q167" s="135" t="s">
        <v>768</v>
      </c>
      <c r="R167" s="134" t="s">
        <v>769</v>
      </c>
      <c r="S167" s="173" t="s">
        <v>515</v>
      </c>
      <c r="T167" s="134" t="s">
        <v>501</v>
      </c>
      <c r="U167" s="133" t="s">
        <v>265</v>
      </c>
      <c r="V167" s="133" t="s">
        <v>266</v>
      </c>
    </row>
    <row r="168" spans="1:23" ht="168">
      <c r="A168" s="133" t="s">
        <v>313</v>
      </c>
      <c r="B168" s="274" t="s">
        <v>226</v>
      </c>
      <c r="C168" s="133" t="s">
        <v>506</v>
      </c>
      <c r="D168" s="133" t="s">
        <v>507</v>
      </c>
      <c r="E168" s="134" t="s">
        <v>773</v>
      </c>
      <c r="F168" s="133" t="s">
        <v>774</v>
      </c>
      <c r="G168" s="133" t="str">
        <f t="shared" si="5"/>
        <v>hrd-lx-shm-01</v>
      </c>
      <c r="H168" s="133" t="s">
        <v>333</v>
      </c>
      <c r="I168" s="133" t="s">
        <v>365</v>
      </c>
      <c r="J168" s="177" t="s">
        <v>757</v>
      </c>
      <c r="K168" s="175" t="s">
        <v>758</v>
      </c>
      <c r="L168" s="175" t="s">
        <v>775</v>
      </c>
      <c r="M168" s="175" t="s">
        <v>256</v>
      </c>
      <c r="N168" s="190">
        <v>36000</v>
      </c>
      <c r="O168" s="190">
        <v>3000</v>
      </c>
      <c r="P168" s="163"/>
      <c r="Q168" s="136" t="s">
        <v>776</v>
      </c>
      <c r="R168" s="134" t="s">
        <v>777</v>
      </c>
      <c r="S168" s="173" t="s">
        <v>515</v>
      </c>
      <c r="T168" s="134" t="s">
        <v>501</v>
      </c>
      <c r="U168" s="133" t="s">
        <v>265</v>
      </c>
      <c r="V168" s="133" t="s">
        <v>266</v>
      </c>
      <c r="W168" s="153" t="s">
        <v>778</v>
      </c>
    </row>
    <row r="169" spans="1:23" ht="168">
      <c r="A169" s="133" t="s">
        <v>313</v>
      </c>
      <c r="B169" s="274" t="s">
        <v>226</v>
      </c>
      <c r="C169" s="133" t="s">
        <v>506</v>
      </c>
      <c r="D169" s="133" t="s">
        <v>507</v>
      </c>
      <c r="E169" s="134" t="s">
        <v>773</v>
      </c>
      <c r="F169" s="133" t="s">
        <v>779</v>
      </c>
      <c r="G169" s="133" t="str">
        <f t="shared" si="5"/>
        <v>hrd-lx-shm-01</v>
      </c>
      <c r="H169" s="133" t="s">
        <v>333</v>
      </c>
      <c r="I169" s="133" t="s">
        <v>380</v>
      </c>
      <c r="J169" s="177" t="s">
        <v>757</v>
      </c>
      <c r="K169" s="175" t="s">
        <v>758</v>
      </c>
      <c r="L169" s="175" t="s">
        <v>775</v>
      </c>
      <c r="M169" s="175" t="s">
        <v>256</v>
      </c>
      <c r="N169" s="190">
        <v>34800</v>
      </c>
      <c r="O169" s="190">
        <v>2900</v>
      </c>
      <c r="P169" s="163"/>
      <c r="Q169" s="136" t="s">
        <v>776</v>
      </c>
      <c r="R169" s="134" t="s">
        <v>777</v>
      </c>
      <c r="S169" s="173" t="s">
        <v>515</v>
      </c>
      <c r="T169" s="134" t="s">
        <v>501</v>
      </c>
      <c r="U169" s="133" t="s">
        <v>265</v>
      </c>
      <c r="V169" s="133" t="s">
        <v>266</v>
      </c>
      <c r="W169" s="153" t="s">
        <v>780</v>
      </c>
    </row>
    <row r="170" spans="1:23" ht="168">
      <c r="A170" s="133" t="s">
        <v>313</v>
      </c>
      <c r="B170" s="274" t="s">
        <v>226</v>
      </c>
      <c r="C170" s="133" t="s">
        <v>506</v>
      </c>
      <c r="D170" s="133" t="s">
        <v>507</v>
      </c>
      <c r="E170" s="134" t="s">
        <v>773</v>
      </c>
      <c r="F170" s="133" t="s">
        <v>781</v>
      </c>
      <c r="G170" s="133" t="str">
        <f t="shared" si="5"/>
        <v>hrd-lx-shm-01</v>
      </c>
      <c r="H170" s="133" t="s">
        <v>333</v>
      </c>
      <c r="I170" s="133" t="s">
        <v>334</v>
      </c>
      <c r="J170" s="177" t="s">
        <v>757</v>
      </c>
      <c r="K170" s="175" t="s">
        <v>758</v>
      </c>
      <c r="L170" s="175" t="s">
        <v>775</v>
      </c>
      <c r="M170" s="175" t="s">
        <v>256</v>
      </c>
      <c r="N170" s="190">
        <v>36000</v>
      </c>
      <c r="O170" s="190">
        <v>3000</v>
      </c>
      <c r="P170" s="163"/>
      <c r="Q170" s="136" t="s">
        <v>776</v>
      </c>
      <c r="R170" s="134" t="s">
        <v>777</v>
      </c>
      <c r="S170" s="173" t="s">
        <v>515</v>
      </c>
      <c r="T170" s="134" t="s">
        <v>501</v>
      </c>
      <c r="U170" s="133" t="s">
        <v>265</v>
      </c>
      <c r="V170" s="133" t="s">
        <v>266</v>
      </c>
      <c r="W170" s="153" t="s">
        <v>780</v>
      </c>
    </row>
    <row r="171" spans="1:23" ht="117">
      <c r="A171" s="133" t="s">
        <v>313</v>
      </c>
      <c r="B171" s="274" t="s">
        <v>226</v>
      </c>
      <c r="C171" s="134" t="s">
        <v>782</v>
      </c>
      <c r="D171" s="133" t="s">
        <v>783</v>
      </c>
      <c r="E171" s="134" t="s">
        <v>784</v>
      </c>
      <c r="F171" s="133" t="s">
        <v>785</v>
      </c>
      <c r="G171" s="133" t="str">
        <f t="shared" si="5"/>
        <v>cbs-cp-vnm-01</v>
      </c>
      <c r="H171" s="133" t="s">
        <v>333</v>
      </c>
      <c r="I171" s="133" t="s">
        <v>334</v>
      </c>
      <c r="J171" s="177" t="s">
        <v>786</v>
      </c>
      <c r="K171" s="175" t="s">
        <v>787</v>
      </c>
      <c r="L171" s="175" t="s">
        <v>788</v>
      </c>
      <c r="M171" s="175" t="s">
        <v>789</v>
      </c>
      <c r="N171" s="145">
        <f>O171*12</f>
        <v>120000</v>
      </c>
      <c r="O171" s="190">
        <v>10000</v>
      </c>
      <c r="P171" s="167" t="s">
        <v>790</v>
      </c>
      <c r="Q171" s="134" t="s">
        <v>791</v>
      </c>
      <c r="R171" s="173" t="s">
        <v>792</v>
      </c>
      <c r="S171" s="173" t="s">
        <v>793</v>
      </c>
      <c r="T171" s="134" t="s">
        <v>311</v>
      </c>
      <c r="U171" s="133" t="s">
        <v>265</v>
      </c>
      <c r="V171" s="133" t="s">
        <v>266</v>
      </c>
      <c r="W171" s="153" t="s">
        <v>794</v>
      </c>
    </row>
    <row r="172" spans="1:23" ht="16.5">
      <c r="A172" s="138" t="s">
        <v>313</v>
      </c>
      <c r="B172" s="183" t="s">
        <v>226</v>
      </c>
      <c r="C172" s="138" t="s">
        <v>39</v>
      </c>
      <c r="D172" s="138" t="s">
        <v>795</v>
      </c>
      <c r="E172" s="139" t="s">
        <v>796</v>
      </c>
      <c r="F172" s="138" t="s">
        <v>797</v>
      </c>
      <c r="G172" s="133" t="str">
        <f t="shared" si="5"/>
        <v>lon-cp-esg-01</v>
      </c>
      <c r="H172" s="138" t="s">
        <v>333</v>
      </c>
      <c r="I172" s="138" t="s">
        <v>365</v>
      </c>
      <c r="J172" s="183" t="s">
        <v>469</v>
      </c>
      <c r="K172" s="183"/>
      <c r="L172" s="175" t="s">
        <v>775</v>
      </c>
      <c r="M172" s="175" t="s">
        <v>256</v>
      </c>
      <c r="N172" s="181"/>
      <c r="O172" s="194"/>
      <c r="P172" s="171"/>
      <c r="Q172" s="138"/>
      <c r="R172" s="139"/>
      <c r="S172" s="174"/>
      <c r="T172" s="134" t="s">
        <v>670</v>
      </c>
      <c r="U172" s="155" t="s">
        <v>257</v>
      </c>
      <c r="V172" s="155" t="s">
        <v>258</v>
      </c>
      <c r="W172" s="155"/>
    </row>
    <row r="173" spans="1:23" ht="16.5">
      <c r="A173" s="138" t="s">
        <v>313</v>
      </c>
      <c r="B173" s="183" t="s">
        <v>226</v>
      </c>
      <c r="C173" s="138" t="s">
        <v>39</v>
      </c>
      <c r="D173" s="138" t="s">
        <v>795</v>
      </c>
      <c r="E173" s="139" t="s">
        <v>796</v>
      </c>
      <c r="F173" s="138" t="s">
        <v>798</v>
      </c>
      <c r="G173" s="133" t="str">
        <f t="shared" si="5"/>
        <v>lon-cp-esg-01</v>
      </c>
      <c r="H173" s="138" t="s">
        <v>333</v>
      </c>
      <c r="I173" s="138" t="s">
        <v>380</v>
      </c>
      <c r="J173" s="183" t="s">
        <v>469</v>
      </c>
      <c r="K173" s="183"/>
      <c r="L173" s="175" t="s">
        <v>775</v>
      </c>
      <c r="M173" s="175" t="s">
        <v>256</v>
      </c>
      <c r="N173" s="181"/>
      <c r="O173" s="194"/>
      <c r="P173" s="171"/>
      <c r="Q173" s="138"/>
      <c r="R173" s="139"/>
      <c r="S173" s="174"/>
      <c r="T173" s="134" t="s">
        <v>670</v>
      </c>
      <c r="U173" s="155" t="s">
        <v>257</v>
      </c>
      <c r="V173" s="155" t="s">
        <v>258</v>
      </c>
      <c r="W173" s="155"/>
    </row>
    <row r="174" spans="1:23" ht="16.5">
      <c r="A174" s="138" t="s">
        <v>313</v>
      </c>
      <c r="B174" s="183" t="s">
        <v>226</v>
      </c>
      <c r="C174" s="138" t="s">
        <v>39</v>
      </c>
      <c r="D174" s="138" t="s">
        <v>795</v>
      </c>
      <c r="E174" s="139" t="s">
        <v>796</v>
      </c>
      <c r="F174" s="138" t="s">
        <v>799</v>
      </c>
      <c r="G174" s="133" t="str">
        <f t="shared" si="5"/>
        <v>lon-cp-esg-01</v>
      </c>
      <c r="H174" s="138" t="s">
        <v>333</v>
      </c>
      <c r="I174" s="138" t="s">
        <v>334</v>
      </c>
      <c r="J174" s="183" t="s">
        <v>469</v>
      </c>
      <c r="K174" s="183"/>
      <c r="L174" s="175" t="s">
        <v>775</v>
      </c>
      <c r="M174" s="175" t="s">
        <v>256</v>
      </c>
      <c r="N174" s="181"/>
      <c r="O174" s="194"/>
      <c r="P174" s="171"/>
      <c r="Q174" s="138"/>
      <c r="R174" s="139"/>
      <c r="S174" s="174"/>
      <c r="T174" s="134" t="s">
        <v>670</v>
      </c>
      <c r="U174" s="155" t="s">
        <v>257</v>
      </c>
      <c r="V174" s="155" t="s">
        <v>258</v>
      </c>
      <c r="W174" s="155"/>
    </row>
    <row r="175" spans="1:23" ht="66.75">
      <c r="A175" s="133" t="s">
        <v>426</v>
      </c>
      <c r="B175" s="274" t="s">
        <v>226</v>
      </c>
      <c r="C175" s="133" t="s">
        <v>39</v>
      </c>
      <c r="D175" s="133" t="s">
        <v>800</v>
      </c>
      <c r="E175" s="134" t="s">
        <v>801</v>
      </c>
      <c r="F175" s="133" t="s">
        <v>802</v>
      </c>
      <c r="G175" s="133" t="str">
        <f t="shared" si="5"/>
        <v>mid-lx-csd-01</v>
      </c>
      <c r="H175" s="133" t="s">
        <v>333</v>
      </c>
      <c r="I175" s="133" t="s">
        <v>334</v>
      </c>
      <c r="J175" s="177" t="s">
        <v>803</v>
      </c>
      <c r="K175" s="175" t="s">
        <v>804</v>
      </c>
      <c r="L175" s="175" t="s">
        <v>805</v>
      </c>
      <c r="M175" s="175" t="s">
        <v>256</v>
      </c>
      <c r="N175" s="190">
        <v>8200</v>
      </c>
      <c r="O175" s="190">
        <v>850</v>
      </c>
      <c r="P175" s="169"/>
      <c r="Q175" s="134" t="s">
        <v>806</v>
      </c>
      <c r="R175" s="134" t="s">
        <v>807</v>
      </c>
      <c r="S175" s="173"/>
      <c r="T175" s="134" t="s">
        <v>670</v>
      </c>
      <c r="U175" s="133" t="s">
        <v>265</v>
      </c>
      <c r="V175" s="133" t="s">
        <v>266</v>
      </c>
      <c r="W175" s="153" t="s">
        <v>808</v>
      </c>
    </row>
    <row r="176" spans="1:23" ht="66.75">
      <c r="A176" s="225" t="s">
        <v>809</v>
      </c>
      <c r="B176" s="274" t="s">
        <v>226</v>
      </c>
      <c r="C176" s="225" t="s">
        <v>39</v>
      </c>
      <c r="D176" s="225" t="s">
        <v>800</v>
      </c>
      <c r="E176" s="226" t="s">
        <v>801</v>
      </c>
      <c r="F176" s="225" t="s">
        <v>810</v>
      </c>
      <c r="G176" s="225"/>
      <c r="H176" s="225" t="s">
        <v>473</v>
      </c>
      <c r="I176" s="225"/>
      <c r="J176" s="227" t="s">
        <v>811</v>
      </c>
      <c r="K176" s="228" t="s">
        <v>812</v>
      </c>
      <c r="L176" s="228"/>
      <c r="M176" s="175" t="s">
        <v>256</v>
      </c>
      <c r="N176" s="229">
        <v>1435</v>
      </c>
      <c r="O176" s="229">
        <v>150</v>
      </c>
      <c r="P176" s="230"/>
      <c r="Q176" s="226" t="s">
        <v>806</v>
      </c>
      <c r="R176" s="226" t="s">
        <v>807</v>
      </c>
      <c r="S176" s="252"/>
      <c r="T176" s="134" t="s">
        <v>670</v>
      </c>
      <c r="U176" s="133" t="s">
        <v>265</v>
      </c>
      <c r="V176" s="133" t="s">
        <v>266</v>
      </c>
      <c r="W176" s="231" t="s">
        <v>813</v>
      </c>
    </row>
    <row r="177" spans="1:23" ht="33.75">
      <c r="A177" s="138" t="s">
        <v>426</v>
      </c>
      <c r="B177" s="274" t="s">
        <v>226</v>
      </c>
      <c r="C177" s="138" t="s">
        <v>39</v>
      </c>
      <c r="D177" s="138" t="s">
        <v>795</v>
      </c>
      <c r="E177" s="139" t="s">
        <v>814</v>
      </c>
      <c r="F177" s="149" t="s">
        <v>815</v>
      </c>
      <c r="G177" s="133" t="str">
        <f t="shared" ref="G177:G216" si="7">LEFT(F177, 13)</f>
        <v>lon-lx-lip-01</v>
      </c>
      <c r="H177" s="149" t="s">
        <v>31</v>
      </c>
      <c r="I177" s="138" t="s">
        <v>334</v>
      </c>
      <c r="J177" s="183" t="s">
        <v>816</v>
      </c>
      <c r="K177" s="183" t="s">
        <v>817</v>
      </c>
      <c r="L177" s="175" t="s">
        <v>433</v>
      </c>
      <c r="M177" s="175" t="s">
        <v>256</v>
      </c>
      <c r="N177" s="181">
        <v>3000</v>
      </c>
      <c r="O177" s="195">
        <v>500</v>
      </c>
      <c r="P177" s="165" t="s">
        <v>818</v>
      </c>
      <c r="Q177" s="138"/>
      <c r="R177" s="139" t="s">
        <v>819</v>
      </c>
      <c r="S177" s="174"/>
      <c r="T177" s="134" t="s">
        <v>670</v>
      </c>
      <c r="U177" s="155" t="s">
        <v>257</v>
      </c>
      <c r="V177" s="155" t="s">
        <v>258</v>
      </c>
      <c r="W177" s="155" t="s">
        <v>820</v>
      </c>
    </row>
    <row r="178" spans="1:23" ht="66.75">
      <c r="A178" s="133" t="s">
        <v>313</v>
      </c>
      <c r="B178" s="274" t="s">
        <v>226</v>
      </c>
      <c r="C178" s="133" t="s">
        <v>34</v>
      </c>
      <c r="D178" s="133" t="s">
        <v>821</v>
      </c>
      <c r="E178" s="134" t="s">
        <v>822</v>
      </c>
      <c r="F178" s="133" t="s">
        <v>823</v>
      </c>
      <c r="G178" s="133" t="str">
        <f t="shared" si="7"/>
        <v>fnm-nt-ews-01</v>
      </c>
      <c r="H178" s="133" t="s">
        <v>333</v>
      </c>
      <c r="I178" s="133" t="s">
        <v>365</v>
      </c>
      <c r="J178" s="177" t="s">
        <v>824</v>
      </c>
      <c r="K178" s="175" t="s">
        <v>825</v>
      </c>
      <c r="L178" s="175" t="s">
        <v>826</v>
      </c>
      <c r="M178" s="175" t="s">
        <v>256</v>
      </c>
      <c r="N178" s="190">
        <v>24000</v>
      </c>
      <c r="O178" s="190">
        <v>1200</v>
      </c>
      <c r="P178" s="169"/>
      <c r="Q178" s="134" t="s">
        <v>827</v>
      </c>
      <c r="R178" s="134" t="s">
        <v>828</v>
      </c>
      <c r="S178" s="173" t="s">
        <v>829</v>
      </c>
      <c r="T178" s="134" t="s">
        <v>501</v>
      </c>
      <c r="U178" s="133" t="s">
        <v>265</v>
      </c>
      <c r="V178" s="133" t="s">
        <v>266</v>
      </c>
    </row>
    <row r="179" spans="1:23" ht="66.75">
      <c r="A179" s="133" t="s">
        <v>313</v>
      </c>
      <c r="B179" s="274" t="s">
        <v>226</v>
      </c>
      <c r="C179" s="133" t="s">
        <v>34</v>
      </c>
      <c r="D179" s="133" t="s">
        <v>821</v>
      </c>
      <c r="E179" s="134" t="s">
        <v>822</v>
      </c>
      <c r="F179" s="133" t="s">
        <v>830</v>
      </c>
      <c r="G179" s="133" t="str">
        <f t="shared" si="7"/>
        <v>fnm-nt-ews-01</v>
      </c>
      <c r="H179" s="133" t="s">
        <v>333</v>
      </c>
      <c r="I179" s="133" t="s">
        <v>380</v>
      </c>
      <c r="J179" s="177" t="s">
        <v>824</v>
      </c>
      <c r="K179" s="175" t="s">
        <v>825</v>
      </c>
      <c r="L179" s="175" t="s">
        <v>826</v>
      </c>
      <c r="M179" s="175" t="s">
        <v>256</v>
      </c>
      <c r="N179" s="190">
        <v>8400</v>
      </c>
      <c r="O179" s="190">
        <v>700</v>
      </c>
      <c r="P179" s="169"/>
      <c r="Q179" s="134" t="s">
        <v>827</v>
      </c>
      <c r="R179" s="134" t="s">
        <v>828</v>
      </c>
      <c r="S179" s="173" t="s">
        <v>829</v>
      </c>
      <c r="T179" s="134" t="s">
        <v>501</v>
      </c>
      <c r="U179" s="133" t="s">
        <v>265</v>
      </c>
      <c r="V179" s="133" t="s">
        <v>266</v>
      </c>
    </row>
    <row r="180" spans="1:23" ht="66.75">
      <c r="A180" s="133" t="s">
        <v>313</v>
      </c>
      <c r="B180" s="274" t="s">
        <v>226</v>
      </c>
      <c r="C180" s="133" t="s">
        <v>34</v>
      </c>
      <c r="D180" s="133" t="s">
        <v>821</v>
      </c>
      <c r="E180" s="134" t="s">
        <v>822</v>
      </c>
      <c r="F180" s="133" t="s">
        <v>831</v>
      </c>
      <c r="G180" s="133" t="str">
        <f t="shared" si="7"/>
        <v>fnm-nt-ews-01</v>
      </c>
      <c r="H180" s="133" t="s">
        <v>333</v>
      </c>
      <c r="I180" s="133" t="s">
        <v>334</v>
      </c>
      <c r="J180" s="177" t="s">
        <v>824</v>
      </c>
      <c r="K180" s="175" t="s">
        <v>825</v>
      </c>
      <c r="L180" s="175" t="s">
        <v>826</v>
      </c>
      <c r="M180" s="175" t="s">
        <v>256</v>
      </c>
      <c r="N180" s="190">
        <v>8400</v>
      </c>
      <c r="O180" s="190">
        <v>700</v>
      </c>
      <c r="P180" s="169"/>
      <c r="Q180" s="134" t="s">
        <v>827</v>
      </c>
      <c r="R180" s="134" t="s">
        <v>832</v>
      </c>
      <c r="S180" s="173" t="s">
        <v>829</v>
      </c>
      <c r="T180" s="134" t="s">
        <v>501</v>
      </c>
      <c r="U180" s="133" t="s">
        <v>265</v>
      </c>
      <c r="V180" s="133" t="s">
        <v>266</v>
      </c>
    </row>
    <row r="181" spans="1:23" ht="33.75">
      <c r="A181" s="138" t="s">
        <v>426</v>
      </c>
      <c r="B181" s="274" t="s">
        <v>226</v>
      </c>
      <c r="C181" s="138" t="s">
        <v>34</v>
      </c>
      <c r="D181" s="138" t="s">
        <v>833</v>
      </c>
      <c r="E181" s="139" t="s">
        <v>834</v>
      </c>
      <c r="F181" s="149" t="s">
        <v>835</v>
      </c>
      <c r="G181" s="138" t="str">
        <f t="shared" si="7"/>
        <v>crd-mf-cca-01</v>
      </c>
      <c r="H181" s="149" t="s">
        <v>308</v>
      </c>
      <c r="I181" s="138" t="s">
        <v>330</v>
      </c>
      <c r="J181" s="183" t="s">
        <v>836</v>
      </c>
      <c r="K181" s="183" t="s">
        <v>837</v>
      </c>
      <c r="M181" s="175" t="s">
        <v>256</v>
      </c>
      <c r="N181" s="181">
        <v>48000</v>
      </c>
      <c r="O181" s="195">
        <v>4000</v>
      </c>
      <c r="P181" s="165" t="s">
        <v>838</v>
      </c>
      <c r="Q181" s="138" t="s">
        <v>839</v>
      </c>
      <c r="R181" s="139" t="s">
        <v>840</v>
      </c>
      <c r="S181" s="174"/>
      <c r="T181" s="134" t="s">
        <v>501</v>
      </c>
      <c r="U181" s="155" t="s">
        <v>257</v>
      </c>
      <c r="V181" s="155" t="s">
        <v>258</v>
      </c>
      <c r="W181" s="155" t="s">
        <v>841</v>
      </c>
    </row>
    <row r="182" spans="1:23" ht="66.75">
      <c r="A182" s="133" t="s">
        <v>313</v>
      </c>
      <c r="B182" s="274" t="s">
        <v>226</v>
      </c>
      <c r="C182" s="133" t="s">
        <v>34</v>
      </c>
      <c r="D182" s="133" t="s">
        <v>842</v>
      </c>
      <c r="E182" s="134" t="s">
        <v>843</v>
      </c>
      <c r="F182" s="134" t="s">
        <v>844</v>
      </c>
      <c r="G182" s="133" t="str">
        <f>LEFT(F182, 13)</f>
        <v>crd-nt-use-27</v>
      </c>
      <c r="H182" s="133" t="s">
        <v>333</v>
      </c>
      <c r="I182" s="133" t="s">
        <v>365</v>
      </c>
      <c r="J182" s="177" t="s">
        <v>845</v>
      </c>
      <c r="K182" s="175" t="s">
        <v>846</v>
      </c>
      <c r="L182" s="175" t="s">
        <v>775</v>
      </c>
      <c r="M182" s="175" t="s">
        <v>256</v>
      </c>
      <c r="N182" s="190">
        <v>16800</v>
      </c>
      <c r="O182" s="190">
        <v>1400</v>
      </c>
      <c r="P182" s="169"/>
      <c r="Q182" s="134" t="s">
        <v>847</v>
      </c>
      <c r="R182" s="134" t="s">
        <v>840</v>
      </c>
      <c r="S182" s="173"/>
      <c r="T182" s="134" t="s">
        <v>501</v>
      </c>
      <c r="U182" s="133" t="s">
        <v>265</v>
      </c>
      <c r="V182" s="133" t="s">
        <v>266</v>
      </c>
    </row>
    <row r="183" spans="1:23" ht="66.75">
      <c r="A183" s="133" t="s">
        <v>313</v>
      </c>
      <c r="B183" s="274" t="s">
        <v>226</v>
      </c>
      <c r="C183" s="133" t="s">
        <v>34</v>
      </c>
      <c r="D183" s="133" t="s">
        <v>833</v>
      </c>
      <c r="E183" s="134" t="s">
        <v>843</v>
      </c>
      <c r="F183" s="133" t="s">
        <v>848</v>
      </c>
      <c r="G183" s="133" t="str">
        <f>LEFT(F183, 13)</f>
        <v>crd-nt-use-27</v>
      </c>
      <c r="H183" s="133" t="s">
        <v>333</v>
      </c>
      <c r="I183" s="133" t="s">
        <v>380</v>
      </c>
      <c r="J183" s="177" t="s">
        <v>849</v>
      </c>
      <c r="K183" s="175" t="s">
        <v>850</v>
      </c>
      <c r="L183" s="175" t="s">
        <v>775</v>
      </c>
      <c r="M183" s="175" t="s">
        <v>256</v>
      </c>
      <c r="N183" s="190">
        <v>7200</v>
      </c>
      <c r="O183" s="190">
        <v>600</v>
      </c>
      <c r="P183" s="169"/>
      <c r="Q183" s="134" t="s">
        <v>847</v>
      </c>
      <c r="R183" s="134" t="s">
        <v>840</v>
      </c>
      <c r="S183" s="173"/>
      <c r="T183" s="134" t="s">
        <v>501</v>
      </c>
      <c r="U183" s="133" t="s">
        <v>265</v>
      </c>
      <c r="V183" s="133" t="s">
        <v>266</v>
      </c>
    </row>
    <row r="184" spans="1:23" s="146" customFormat="1" ht="66.75">
      <c r="A184" s="133" t="s">
        <v>313</v>
      </c>
      <c r="B184" s="274" t="s">
        <v>226</v>
      </c>
      <c r="C184" s="133" t="s">
        <v>34</v>
      </c>
      <c r="D184" s="133" t="s">
        <v>833</v>
      </c>
      <c r="E184" s="134" t="s">
        <v>843</v>
      </c>
      <c r="F184" s="133" t="s">
        <v>851</v>
      </c>
      <c r="G184" s="133" t="str">
        <f t="shared" si="7"/>
        <v>crd-nt-use-27</v>
      </c>
      <c r="H184" s="133" t="s">
        <v>333</v>
      </c>
      <c r="I184" s="133" t="s">
        <v>334</v>
      </c>
      <c r="J184" s="177" t="s">
        <v>849</v>
      </c>
      <c r="K184" s="175" t="s">
        <v>850</v>
      </c>
      <c r="L184" s="175" t="s">
        <v>775</v>
      </c>
      <c r="M184" s="175" t="s">
        <v>256</v>
      </c>
      <c r="N184" s="190">
        <v>4800</v>
      </c>
      <c r="O184" s="190">
        <v>400</v>
      </c>
      <c r="P184" s="169"/>
      <c r="Q184" s="134" t="s">
        <v>847</v>
      </c>
      <c r="R184" s="134" t="s">
        <v>840</v>
      </c>
      <c r="S184" s="173"/>
      <c r="T184" s="134" t="s">
        <v>501</v>
      </c>
      <c r="U184" s="133" t="s">
        <v>265</v>
      </c>
      <c r="V184" s="133" t="s">
        <v>266</v>
      </c>
      <c r="W184" s="153"/>
    </row>
    <row r="185" spans="1:23" ht="66.75">
      <c r="A185" s="133" t="s">
        <v>313</v>
      </c>
      <c r="B185" s="274" t="s">
        <v>226</v>
      </c>
      <c r="C185" s="133" t="s">
        <v>34</v>
      </c>
      <c r="D185" s="133" t="s">
        <v>852</v>
      </c>
      <c r="E185" s="134" t="s">
        <v>853</v>
      </c>
      <c r="F185" s="133" t="s">
        <v>854</v>
      </c>
      <c r="G185" s="133" t="str">
        <f t="shared" si="7"/>
        <v>crd-nt-pos-01</v>
      </c>
      <c r="H185" s="133" t="s">
        <v>333</v>
      </c>
      <c r="I185" s="133" t="s">
        <v>365</v>
      </c>
      <c r="J185" s="177" t="s">
        <v>855</v>
      </c>
      <c r="K185" s="175" t="s">
        <v>856</v>
      </c>
      <c r="L185" s="175" t="s">
        <v>857</v>
      </c>
      <c r="M185" s="175" t="s">
        <v>256</v>
      </c>
      <c r="N185" s="190">
        <v>114000</v>
      </c>
      <c r="O185" s="190">
        <v>9500</v>
      </c>
      <c r="P185" s="169"/>
      <c r="Q185" s="134" t="s">
        <v>858</v>
      </c>
      <c r="R185" s="134" t="s">
        <v>859</v>
      </c>
      <c r="S185" s="173"/>
      <c r="T185" s="134" t="s">
        <v>501</v>
      </c>
      <c r="U185" s="133" t="s">
        <v>265</v>
      </c>
      <c r="V185" s="133" t="s">
        <v>266</v>
      </c>
    </row>
    <row r="186" spans="1:23" ht="66.75">
      <c r="A186" s="133" t="s">
        <v>313</v>
      </c>
      <c r="B186" s="274" t="s">
        <v>226</v>
      </c>
      <c r="C186" s="133" t="s">
        <v>34</v>
      </c>
      <c r="D186" s="133" t="s">
        <v>852</v>
      </c>
      <c r="E186" s="134" t="s">
        <v>853</v>
      </c>
      <c r="F186" s="133" t="s">
        <v>860</v>
      </c>
      <c r="G186" s="133" t="str">
        <f t="shared" si="7"/>
        <v>crd-nt-pos-01</v>
      </c>
      <c r="H186" s="133" t="s">
        <v>333</v>
      </c>
      <c r="I186" s="133" t="s">
        <v>380</v>
      </c>
      <c r="J186" s="177" t="s">
        <v>861</v>
      </c>
      <c r="K186" s="175" t="s">
        <v>856</v>
      </c>
      <c r="L186" s="175" t="s">
        <v>857</v>
      </c>
      <c r="M186" s="175" t="s">
        <v>256</v>
      </c>
      <c r="N186" s="190">
        <v>26400</v>
      </c>
      <c r="O186" s="190">
        <v>2200</v>
      </c>
      <c r="P186" s="169"/>
      <c r="Q186" s="134" t="s">
        <v>858</v>
      </c>
      <c r="R186" s="134" t="s">
        <v>859</v>
      </c>
      <c r="S186" s="173"/>
      <c r="T186" s="134" t="s">
        <v>501</v>
      </c>
      <c r="U186" s="133" t="s">
        <v>265</v>
      </c>
      <c r="V186" s="133" t="s">
        <v>266</v>
      </c>
    </row>
    <row r="187" spans="1:23" ht="66.75">
      <c r="A187" s="133" t="s">
        <v>313</v>
      </c>
      <c r="B187" s="274" t="s">
        <v>226</v>
      </c>
      <c r="C187" s="133" t="s">
        <v>34</v>
      </c>
      <c r="D187" s="133" t="s">
        <v>852</v>
      </c>
      <c r="E187" s="134" t="s">
        <v>853</v>
      </c>
      <c r="F187" s="133" t="s">
        <v>862</v>
      </c>
      <c r="G187" s="133" t="str">
        <f t="shared" si="7"/>
        <v>crd-nt-pos-01</v>
      </c>
      <c r="H187" s="133" t="s">
        <v>333</v>
      </c>
      <c r="I187" s="133" t="s">
        <v>334</v>
      </c>
      <c r="J187" s="187" t="s">
        <v>861</v>
      </c>
      <c r="K187" s="185" t="s">
        <v>856</v>
      </c>
      <c r="L187" s="175" t="s">
        <v>857</v>
      </c>
      <c r="M187" s="175" t="s">
        <v>256</v>
      </c>
      <c r="N187" s="196">
        <v>16800</v>
      </c>
      <c r="O187" s="190">
        <v>1400</v>
      </c>
      <c r="P187" s="180"/>
      <c r="Q187" s="134" t="s">
        <v>858</v>
      </c>
      <c r="R187" s="173" t="s">
        <v>859</v>
      </c>
      <c r="S187" s="173"/>
      <c r="T187" s="134" t="s">
        <v>501</v>
      </c>
      <c r="U187" s="133" t="s">
        <v>265</v>
      </c>
      <c r="V187" s="133" t="s">
        <v>266</v>
      </c>
    </row>
    <row r="188" spans="1:23" ht="66.75">
      <c r="A188" s="133" t="s">
        <v>313</v>
      </c>
      <c r="B188" s="274" t="s">
        <v>226</v>
      </c>
      <c r="C188" s="133" t="s">
        <v>34</v>
      </c>
      <c r="D188" s="133" t="s">
        <v>863</v>
      </c>
      <c r="E188" s="134" t="s">
        <v>864</v>
      </c>
      <c r="F188" s="133" t="s">
        <v>865</v>
      </c>
      <c r="G188" s="133" t="str">
        <f t="shared" si="7"/>
        <v>fnm-cp-rcp-01</v>
      </c>
      <c r="H188" s="133" t="s">
        <v>333</v>
      </c>
      <c r="I188" s="133" t="s">
        <v>380</v>
      </c>
      <c r="J188" s="177" t="s">
        <v>866</v>
      </c>
      <c r="K188" s="175" t="s">
        <v>825</v>
      </c>
      <c r="L188" s="175" t="s">
        <v>867</v>
      </c>
      <c r="M188" s="175" t="s">
        <v>256</v>
      </c>
      <c r="N188" s="190">
        <v>12000</v>
      </c>
      <c r="O188" s="190">
        <v>1000</v>
      </c>
      <c r="P188" s="169"/>
      <c r="Q188" s="136" t="s">
        <v>868</v>
      </c>
      <c r="R188" s="134" t="s">
        <v>828</v>
      </c>
      <c r="S188" s="173" t="s">
        <v>829</v>
      </c>
      <c r="T188" s="134" t="s">
        <v>501</v>
      </c>
      <c r="U188" s="133" t="s">
        <v>265</v>
      </c>
      <c r="V188" s="133" t="s">
        <v>266</v>
      </c>
    </row>
    <row r="189" spans="1:23" ht="66.75">
      <c r="A189" s="133" t="s">
        <v>313</v>
      </c>
      <c r="B189" s="274" t="s">
        <v>226</v>
      </c>
      <c r="C189" s="133" t="s">
        <v>34</v>
      </c>
      <c r="D189" s="133" t="s">
        <v>863</v>
      </c>
      <c r="E189" s="134" t="s">
        <v>864</v>
      </c>
      <c r="F189" s="133" t="s">
        <v>869</v>
      </c>
      <c r="G189" s="133" t="str">
        <f t="shared" si="7"/>
        <v>fnm-cp-rcp-01</v>
      </c>
      <c r="H189" s="133" t="s">
        <v>333</v>
      </c>
      <c r="I189" s="133" t="s">
        <v>334</v>
      </c>
      <c r="J189" s="177" t="s">
        <v>824</v>
      </c>
      <c r="K189" s="175" t="s">
        <v>825</v>
      </c>
      <c r="L189" s="175" t="s">
        <v>867</v>
      </c>
      <c r="M189" s="175" t="s">
        <v>256</v>
      </c>
      <c r="N189" s="190">
        <v>12000</v>
      </c>
      <c r="O189" s="190">
        <v>1000</v>
      </c>
      <c r="P189" s="169"/>
      <c r="Q189" s="136" t="s">
        <v>868</v>
      </c>
      <c r="R189" s="134" t="s">
        <v>832</v>
      </c>
      <c r="S189" s="173" t="s">
        <v>829</v>
      </c>
      <c r="T189" s="134" t="s">
        <v>501</v>
      </c>
      <c r="U189" s="133" t="s">
        <v>265</v>
      </c>
      <c r="V189" s="133" t="s">
        <v>266</v>
      </c>
    </row>
    <row r="190" spans="1:23" ht="66.75">
      <c r="A190" s="133" t="s">
        <v>313</v>
      </c>
      <c r="B190" s="274" t="s">
        <v>226</v>
      </c>
      <c r="C190" s="133" t="s">
        <v>34</v>
      </c>
      <c r="D190" s="133" t="s">
        <v>852</v>
      </c>
      <c r="E190" s="134" t="s">
        <v>870</v>
      </c>
      <c r="F190" s="133" t="s">
        <v>871</v>
      </c>
      <c r="G190" s="133" t="str">
        <f t="shared" si="7"/>
        <v>crd-nt-use-20</v>
      </c>
      <c r="H190" s="133" t="s">
        <v>333</v>
      </c>
      <c r="I190" s="133" t="s">
        <v>365</v>
      </c>
      <c r="J190" s="177" t="s">
        <v>872</v>
      </c>
      <c r="K190" s="175" t="s">
        <v>873</v>
      </c>
      <c r="L190" s="175" t="s">
        <v>874</v>
      </c>
      <c r="M190" s="175" t="s">
        <v>256</v>
      </c>
      <c r="N190" s="190">
        <v>6000</v>
      </c>
      <c r="O190" s="190">
        <v>500</v>
      </c>
      <c r="P190" s="169"/>
      <c r="Q190" s="134" t="s">
        <v>875</v>
      </c>
      <c r="R190" s="134" t="s">
        <v>876</v>
      </c>
      <c r="S190" s="173"/>
      <c r="T190" s="134" t="s">
        <v>501</v>
      </c>
      <c r="U190" s="133" t="s">
        <v>265</v>
      </c>
      <c r="V190" s="133" t="s">
        <v>266</v>
      </c>
    </row>
    <row r="191" spans="1:23" ht="66.75">
      <c r="A191" s="133" t="s">
        <v>313</v>
      </c>
      <c r="B191" s="274" t="s">
        <v>226</v>
      </c>
      <c r="C191" s="133" t="s">
        <v>34</v>
      </c>
      <c r="D191" s="133" t="s">
        <v>852</v>
      </c>
      <c r="E191" s="134" t="s">
        <v>870</v>
      </c>
      <c r="F191" s="133" t="s">
        <v>877</v>
      </c>
      <c r="G191" s="133" t="str">
        <f t="shared" si="7"/>
        <v>crd-nt-use-20</v>
      </c>
      <c r="H191" s="133" t="s">
        <v>333</v>
      </c>
      <c r="I191" s="133" t="s">
        <v>380</v>
      </c>
      <c r="J191" s="177" t="s">
        <v>878</v>
      </c>
      <c r="K191" s="175" t="s">
        <v>873</v>
      </c>
      <c r="L191" s="175" t="s">
        <v>874</v>
      </c>
      <c r="M191" s="175" t="s">
        <v>256</v>
      </c>
      <c r="N191" s="190">
        <v>4800</v>
      </c>
      <c r="O191" s="190">
        <v>400</v>
      </c>
      <c r="P191" s="169"/>
      <c r="Q191" s="134" t="s">
        <v>875</v>
      </c>
      <c r="R191" s="134" t="s">
        <v>876</v>
      </c>
      <c r="S191" s="173"/>
      <c r="T191" s="134" t="s">
        <v>501</v>
      </c>
      <c r="U191" s="133" t="s">
        <v>265</v>
      </c>
      <c r="V191" s="133" t="s">
        <v>266</v>
      </c>
    </row>
    <row r="192" spans="1:23" ht="66.75">
      <c r="A192" s="133" t="s">
        <v>313</v>
      </c>
      <c r="B192" s="274" t="s">
        <v>226</v>
      </c>
      <c r="C192" s="133" t="s">
        <v>34</v>
      </c>
      <c r="D192" s="133" t="s">
        <v>852</v>
      </c>
      <c r="E192" s="134" t="s">
        <v>870</v>
      </c>
      <c r="F192" s="133" t="s">
        <v>879</v>
      </c>
      <c r="G192" s="133" t="str">
        <f t="shared" si="7"/>
        <v>crd-nt-use-20</v>
      </c>
      <c r="H192" s="133" t="s">
        <v>333</v>
      </c>
      <c r="I192" s="133" t="s">
        <v>334</v>
      </c>
      <c r="J192" s="177" t="s">
        <v>878</v>
      </c>
      <c r="K192" s="175" t="s">
        <v>873</v>
      </c>
      <c r="L192" s="175" t="s">
        <v>874</v>
      </c>
      <c r="M192" s="175" t="s">
        <v>256</v>
      </c>
      <c r="N192" s="190">
        <v>6000</v>
      </c>
      <c r="O192" s="190">
        <v>500</v>
      </c>
      <c r="P192" s="169"/>
      <c r="Q192" s="134" t="s">
        <v>875</v>
      </c>
      <c r="R192" s="173" t="s">
        <v>876</v>
      </c>
      <c r="S192" s="173"/>
      <c r="T192" s="134" t="s">
        <v>501</v>
      </c>
      <c r="U192" s="133" t="s">
        <v>265</v>
      </c>
      <c r="V192" s="133" t="s">
        <v>266</v>
      </c>
    </row>
    <row r="193" spans="1:23" ht="66.75">
      <c r="A193" s="133" t="s">
        <v>313</v>
      </c>
      <c r="B193" s="274" t="s">
        <v>226</v>
      </c>
      <c r="C193" s="133" t="s">
        <v>34</v>
      </c>
      <c r="D193" s="133" t="s">
        <v>833</v>
      </c>
      <c r="E193" s="134" t="s">
        <v>880</v>
      </c>
      <c r="F193" s="133" t="s">
        <v>881</v>
      </c>
      <c r="G193" s="133" t="str">
        <f t="shared" si="7"/>
        <v>crd-nt-act-15</v>
      </c>
      <c r="H193" s="133" t="s">
        <v>333</v>
      </c>
      <c r="I193" s="133" t="s">
        <v>380</v>
      </c>
      <c r="J193" s="177" t="s">
        <v>882</v>
      </c>
      <c r="K193" s="175" t="s">
        <v>883</v>
      </c>
      <c r="L193" s="175" t="s">
        <v>884</v>
      </c>
      <c r="M193" s="175" t="s">
        <v>256</v>
      </c>
      <c r="N193" s="197">
        <v>1080</v>
      </c>
      <c r="O193" s="190">
        <v>120</v>
      </c>
      <c r="P193" s="163" t="s">
        <v>885</v>
      </c>
      <c r="Q193" s="134" t="s">
        <v>886</v>
      </c>
      <c r="R193" s="173" t="s">
        <v>887</v>
      </c>
      <c r="S193" s="173"/>
      <c r="T193" s="134" t="s">
        <v>501</v>
      </c>
      <c r="U193" s="133" t="s">
        <v>265</v>
      </c>
      <c r="V193" s="133" t="s">
        <v>266</v>
      </c>
    </row>
    <row r="194" spans="1:23" ht="66.75">
      <c r="A194" s="133" t="s">
        <v>313</v>
      </c>
      <c r="B194" s="274" t="s">
        <v>226</v>
      </c>
      <c r="C194" s="133" t="s">
        <v>34</v>
      </c>
      <c r="D194" s="133" t="s">
        <v>833</v>
      </c>
      <c r="E194" s="134" t="s">
        <v>880</v>
      </c>
      <c r="F194" s="133" t="s">
        <v>888</v>
      </c>
      <c r="G194" s="133" t="str">
        <f t="shared" si="7"/>
        <v>crd-nt-act-15</v>
      </c>
      <c r="H194" s="133" t="s">
        <v>333</v>
      </c>
      <c r="I194" s="133" t="s">
        <v>334</v>
      </c>
      <c r="J194" s="177" t="s">
        <v>889</v>
      </c>
      <c r="K194" s="175" t="s">
        <v>883</v>
      </c>
      <c r="L194" s="175" t="s">
        <v>884</v>
      </c>
      <c r="M194" s="175" t="s">
        <v>256</v>
      </c>
      <c r="N194" s="190">
        <v>720</v>
      </c>
      <c r="O194" s="190">
        <v>150</v>
      </c>
      <c r="P194" s="163" t="s">
        <v>890</v>
      </c>
      <c r="Q194" s="134" t="s">
        <v>886</v>
      </c>
      <c r="R194" s="173" t="s">
        <v>887</v>
      </c>
      <c r="S194" s="173"/>
      <c r="T194" s="134" t="s">
        <v>501</v>
      </c>
      <c r="U194" s="133" t="s">
        <v>265</v>
      </c>
      <c r="V194" s="133" t="s">
        <v>266</v>
      </c>
    </row>
    <row r="195" spans="1:23" ht="66.75">
      <c r="A195" s="133" t="s">
        <v>313</v>
      </c>
      <c r="B195" s="274" t="s">
        <v>226</v>
      </c>
      <c r="C195" s="133" t="s">
        <v>34</v>
      </c>
      <c r="D195" s="133" t="s">
        <v>821</v>
      </c>
      <c r="E195" s="134" t="s">
        <v>891</v>
      </c>
      <c r="F195" s="133" t="s">
        <v>892</v>
      </c>
      <c r="G195" s="133" t="str">
        <f t="shared" si="7"/>
        <v>com-cp-ocr-01</v>
      </c>
      <c r="H195" s="133" t="s">
        <v>333</v>
      </c>
      <c r="I195" s="133" t="s">
        <v>334</v>
      </c>
      <c r="J195" s="177" t="s">
        <v>893</v>
      </c>
      <c r="K195" s="186" t="s">
        <v>894</v>
      </c>
      <c r="M195" s="175" t="s">
        <v>256</v>
      </c>
      <c r="N195" s="190">
        <v>1500</v>
      </c>
      <c r="O195" s="190">
        <v>125</v>
      </c>
      <c r="P195" s="163"/>
      <c r="Q195" s="137" t="s">
        <v>895</v>
      </c>
      <c r="R195" s="134" t="s">
        <v>896</v>
      </c>
      <c r="S195" s="173" t="s">
        <v>829</v>
      </c>
      <c r="T195" s="134" t="s">
        <v>501</v>
      </c>
      <c r="U195" s="133" t="s">
        <v>265</v>
      </c>
      <c r="V195" s="133" t="s">
        <v>266</v>
      </c>
    </row>
    <row r="196" spans="1:23" ht="66.75">
      <c r="A196" s="133" t="s">
        <v>313</v>
      </c>
      <c r="B196" s="274" t="s">
        <v>226</v>
      </c>
      <c r="C196" s="133" t="s">
        <v>34</v>
      </c>
      <c r="D196" s="133" t="s">
        <v>833</v>
      </c>
      <c r="E196" s="134" t="s">
        <v>897</v>
      </c>
      <c r="F196" s="133" t="s">
        <v>898</v>
      </c>
      <c r="G196" s="133" t="str">
        <f t="shared" si="7"/>
        <v>crd-nt-cap-02</v>
      </c>
      <c r="H196" s="133" t="s">
        <v>333</v>
      </c>
      <c r="I196" s="133" t="s">
        <v>380</v>
      </c>
      <c r="J196" s="177" t="s">
        <v>899</v>
      </c>
      <c r="K196" s="175" t="s">
        <v>900</v>
      </c>
      <c r="L196" s="175" t="s">
        <v>901</v>
      </c>
      <c r="M196" s="175" t="s">
        <v>256</v>
      </c>
      <c r="N196" s="190">
        <v>1320</v>
      </c>
      <c r="O196" s="190">
        <v>220</v>
      </c>
      <c r="P196" s="166">
        <v>11202505012</v>
      </c>
      <c r="Q196" s="134" t="s">
        <v>902</v>
      </c>
      <c r="R196" s="134" t="s">
        <v>903</v>
      </c>
      <c r="S196" s="173"/>
      <c r="T196" s="134" t="s">
        <v>501</v>
      </c>
      <c r="U196" s="133" t="s">
        <v>265</v>
      </c>
      <c r="V196" s="133" t="s">
        <v>266</v>
      </c>
    </row>
    <row r="197" spans="1:23" ht="66.75">
      <c r="A197" s="133" t="s">
        <v>313</v>
      </c>
      <c r="B197" s="274" t="s">
        <v>226</v>
      </c>
      <c r="C197" s="133" t="s">
        <v>34</v>
      </c>
      <c r="D197" s="133" t="s">
        <v>833</v>
      </c>
      <c r="E197" s="134" t="s">
        <v>904</v>
      </c>
      <c r="F197" s="133" t="s">
        <v>905</v>
      </c>
      <c r="G197" s="133" t="str">
        <f t="shared" si="7"/>
        <v>crd-nt-cap-02</v>
      </c>
      <c r="H197" s="133" t="s">
        <v>333</v>
      </c>
      <c r="I197" s="133" t="s">
        <v>334</v>
      </c>
      <c r="J197" s="177" t="s">
        <v>899</v>
      </c>
      <c r="K197" s="175" t="s">
        <v>900</v>
      </c>
      <c r="L197" s="175" t="s">
        <v>901</v>
      </c>
      <c r="M197" s="175" t="s">
        <v>256</v>
      </c>
      <c r="N197" s="190">
        <f>O197*12</f>
        <v>1320</v>
      </c>
      <c r="O197" s="190">
        <v>110</v>
      </c>
      <c r="P197" s="166">
        <v>11202504481</v>
      </c>
      <c r="Q197" s="134" t="s">
        <v>902</v>
      </c>
      <c r="R197" s="173" t="s">
        <v>903</v>
      </c>
      <c r="S197" s="173"/>
      <c r="T197" s="134" t="s">
        <v>501</v>
      </c>
      <c r="U197" s="133" t="s">
        <v>265</v>
      </c>
      <c r="V197" s="133" t="s">
        <v>266</v>
      </c>
    </row>
    <row r="198" spans="1:23" ht="66.75">
      <c r="A198" s="133" t="s">
        <v>313</v>
      </c>
      <c r="B198" s="274" t="s">
        <v>226</v>
      </c>
      <c r="C198" s="133" t="s">
        <v>906</v>
      </c>
      <c r="D198" s="133" t="s">
        <v>907</v>
      </c>
      <c r="E198" s="134" t="s">
        <v>908</v>
      </c>
      <c r="F198" s="133" t="s">
        <v>909</v>
      </c>
      <c r="G198" s="133" t="str">
        <f t="shared" si="7"/>
        <v>crd-lx-acs-01</v>
      </c>
      <c r="H198" s="142" t="s">
        <v>31</v>
      </c>
      <c r="I198" s="133" t="s">
        <v>334</v>
      </c>
      <c r="J198" s="177" t="s">
        <v>910</v>
      </c>
      <c r="K198" s="175" t="s">
        <v>911</v>
      </c>
      <c r="L198" s="175" t="s">
        <v>901</v>
      </c>
      <c r="M198" s="175" t="s">
        <v>256</v>
      </c>
      <c r="N198" s="145">
        <f>O198*12</f>
        <v>1416</v>
      </c>
      <c r="O198" s="190">
        <v>118</v>
      </c>
      <c r="P198" s="167" t="s">
        <v>912</v>
      </c>
      <c r="Q198" s="136" t="s">
        <v>913</v>
      </c>
      <c r="R198" s="134" t="s">
        <v>914</v>
      </c>
      <c r="S198" s="173"/>
      <c r="T198" s="134" t="s">
        <v>501</v>
      </c>
      <c r="U198" s="133" t="s">
        <v>265</v>
      </c>
      <c r="V198" s="133" t="s">
        <v>266</v>
      </c>
    </row>
    <row r="199" spans="1:23" ht="66.75">
      <c r="A199" s="133" t="s">
        <v>313</v>
      </c>
      <c r="B199" s="274" t="s">
        <v>226</v>
      </c>
      <c r="C199" s="133" t="s">
        <v>906</v>
      </c>
      <c r="D199" s="133" t="s">
        <v>907</v>
      </c>
      <c r="E199" s="134" t="s">
        <v>908</v>
      </c>
      <c r="F199" s="133" t="s">
        <v>915</v>
      </c>
      <c r="G199" s="133" t="str">
        <f t="shared" si="7"/>
        <v>crd-lx-acs-01</v>
      </c>
      <c r="H199" s="142" t="s">
        <v>31</v>
      </c>
      <c r="I199" s="133" t="s">
        <v>380</v>
      </c>
      <c r="J199" s="177" t="s">
        <v>910</v>
      </c>
      <c r="K199" s="175" t="s">
        <v>911</v>
      </c>
      <c r="L199" s="175" t="s">
        <v>901</v>
      </c>
      <c r="M199" s="175" t="s">
        <v>256</v>
      </c>
      <c r="N199" s="145">
        <f>O199*12</f>
        <v>1823.6399999999999</v>
      </c>
      <c r="O199" s="190">
        <v>151.97</v>
      </c>
      <c r="P199" s="167" t="s">
        <v>912</v>
      </c>
      <c r="Q199" s="136" t="s">
        <v>913</v>
      </c>
      <c r="R199" s="134" t="s">
        <v>914</v>
      </c>
      <c r="S199" s="173"/>
      <c r="T199" s="134" t="s">
        <v>501</v>
      </c>
      <c r="U199" s="133" t="s">
        <v>265</v>
      </c>
      <c r="V199" s="133" t="s">
        <v>266</v>
      </c>
    </row>
    <row r="200" spans="1:23" ht="66.75">
      <c r="A200" s="133" t="s">
        <v>313</v>
      </c>
      <c r="B200" s="274" t="s">
        <v>226</v>
      </c>
      <c r="C200" s="133" t="s">
        <v>34</v>
      </c>
      <c r="D200" s="133" t="s">
        <v>916</v>
      </c>
      <c r="E200" s="134" t="s">
        <v>904</v>
      </c>
      <c r="F200" s="133" t="s">
        <v>917</v>
      </c>
      <c r="G200" s="133" t="str">
        <f t="shared" si="7"/>
        <v>crd-nt-cap-02</v>
      </c>
      <c r="H200" s="133" t="s">
        <v>333</v>
      </c>
      <c r="I200" s="133" t="s">
        <v>357</v>
      </c>
      <c r="J200" s="177" t="s">
        <v>918</v>
      </c>
      <c r="K200" s="175" t="s">
        <v>900</v>
      </c>
      <c r="L200" s="175" t="s">
        <v>919</v>
      </c>
      <c r="M200" s="175" t="s">
        <v>256</v>
      </c>
      <c r="N200" s="145">
        <f>O200*12</f>
        <v>3000</v>
      </c>
      <c r="O200" s="190">
        <v>250</v>
      </c>
      <c r="P200" s="163"/>
      <c r="Q200" s="134" t="s">
        <v>920</v>
      </c>
      <c r="R200" s="173" t="s">
        <v>921</v>
      </c>
      <c r="S200" s="173"/>
      <c r="T200" s="134" t="s">
        <v>501</v>
      </c>
      <c r="U200" s="133" t="s">
        <v>265</v>
      </c>
      <c r="V200" s="133" t="s">
        <v>266</v>
      </c>
    </row>
    <row r="201" spans="1:23" ht="66.75">
      <c r="A201" s="133" t="s">
        <v>313</v>
      </c>
      <c r="B201" s="274" t="s">
        <v>226</v>
      </c>
      <c r="C201" s="133" t="s">
        <v>922</v>
      </c>
      <c r="D201" s="133" t="s">
        <v>923</v>
      </c>
      <c r="E201" s="134" t="s">
        <v>924</v>
      </c>
      <c r="F201" s="133" t="s">
        <v>925</v>
      </c>
      <c r="G201" s="133" t="s">
        <v>926</v>
      </c>
      <c r="H201" s="133" t="s">
        <v>333</v>
      </c>
      <c r="I201" s="133" t="s">
        <v>365</v>
      </c>
      <c r="J201" s="177" t="s">
        <v>927</v>
      </c>
      <c r="K201" s="175" t="s">
        <v>928</v>
      </c>
      <c r="M201" s="175" t="s">
        <v>256</v>
      </c>
      <c r="N201" s="190">
        <v>5345.6543999999994</v>
      </c>
      <c r="O201" s="190">
        <v>250</v>
      </c>
      <c r="P201" s="169"/>
      <c r="Q201" s="134" t="s">
        <v>929</v>
      </c>
      <c r="R201" s="173" t="s">
        <v>930</v>
      </c>
      <c r="S201" s="253" t="s">
        <v>931</v>
      </c>
      <c r="T201" s="134" t="s">
        <v>932</v>
      </c>
      <c r="U201" s="133" t="s">
        <v>265</v>
      </c>
      <c r="V201" s="133" t="s">
        <v>266</v>
      </c>
    </row>
    <row r="202" spans="1:23" ht="66.75">
      <c r="A202" s="133" t="s">
        <v>313</v>
      </c>
      <c r="B202" s="274" t="s">
        <v>226</v>
      </c>
      <c r="C202" s="133" t="s">
        <v>922</v>
      </c>
      <c r="D202" s="133" t="s">
        <v>923</v>
      </c>
      <c r="E202" s="134" t="s">
        <v>924</v>
      </c>
      <c r="F202" s="133" t="s">
        <v>933</v>
      </c>
      <c r="G202" s="133" t="s">
        <v>926</v>
      </c>
      <c r="H202" s="133" t="s">
        <v>333</v>
      </c>
      <c r="I202" s="133" t="s">
        <v>365</v>
      </c>
      <c r="J202" s="177" t="s">
        <v>927</v>
      </c>
      <c r="K202" s="175" t="s">
        <v>928</v>
      </c>
      <c r="M202" s="175" t="s">
        <v>256</v>
      </c>
      <c r="N202" s="197">
        <v>296.1216</v>
      </c>
      <c r="O202" s="190">
        <v>45</v>
      </c>
      <c r="P202" s="180"/>
      <c r="Q202" s="134" t="s">
        <v>929</v>
      </c>
      <c r="R202" s="173" t="s">
        <v>930</v>
      </c>
      <c r="S202" s="253" t="s">
        <v>931</v>
      </c>
      <c r="T202" s="134" t="s">
        <v>932</v>
      </c>
      <c r="U202" s="133" t="s">
        <v>265</v>
      </c>
      <c r="V202" s="133" t="s">
        <v>266</v>
      </c>
    </row>
    <row r="203" spans="1:23" ht="66.75">
      <c r="A203" s="235" t="s">
        <v>313</v>
      </c>
      <c r="B203" s="274" t="s">
        <v>226</v>
      </c>
      <c r="C203" s="235" t="s">
        <v>922</v>
      </c>
      <c r="D203" s="235" t="s">
        <v>923</v>
      </c>
      <c r="E203" s="236" t="s">
        <v>924</v>
      </c>
      <c r="F203" s="235" t="s">
        <v>934</v>
      </c>
      <c r="G203" s="235" t="s">
        <v>926</v>
      </c>
      <c r="H203" s="235" t="s">
        <v>333</v>
      </c>
      <c r="I203" s="235" t="s">
        <v>380</v>
      </c>
      <c r="J203" s="237" t="s">
        <v>927</v>
      </c>
      <c r="K203" s="238" t="s">
        <v>928</v>
      </c>
      <c r="M203" s="175" t="s">
        <v>256</v>
      </c>
      <c r="N203" s="239">
        <v>147.45599999999996</v>
      </c>
      <c r="O203" s="239">
        <v>25</v>
      </c>
      <c r="P203" s="240"/>
      <c r="Q203" s="236" t="s">
        <v>929</v>
      </c>
      <c r="R203" s="173" t="s">
        <v>930</v>
      </c>
      <c r="S203" s="253" t="s">
        <v>931</v>
      </c>
      <c r="T203" s="134" t="s">
        <v>932</v>
      </c>
      <c r="U203" s="133" t="s">
        <v>265</v>
      </c>
      <c r="V203" s="133" t="s">
        <v>266</v>
      </c>
      <c r="W203" s="241"/>
    </row>
    <row r="204" spans="1:23" ht="66.75">
      <c r="A204" s="235" t="s">
        <v>313</v>
      </c>
      <c r="B204" s="274" t="s">
        <v>226</v>
      </c>
      <c r="C204" s="235" t="s">
        <v>922</v>
      </c>
      <c r="D204" s="235" t="s">
        <v>923</v>
      </c>
      <c r="E204" s="236" t="s">
        <v>935</v>
      </c>
      <c r="F204" s="235" t="s">
        <v>936</v>
      </c>
      <c r="G204" s="235" t="s">
        <v>926</v>
      </c>
      <c r="H204" s="235" t="s">
        <v>333</v>
      </c>
      <c r="I204" s="235" t="s">
        <v>334</v>
      </c>
      <c r="J204" s="237" t="s">
        <v>927</v>
      </c>
      <c r="K204" s="238" t="s">
        <v>928</v>
      </c>
      <c r="M204" s="175" t="s">
        <v>256</v>
      </c>
      <c r="N204" s="239">
        <f>O204*12</f>
        <v>240</v>
      </c>
      <c r="O204" s="239">
        <v>20</v>
      </c>
      <c r="P204" s="240"/>
      <c r="Q204" s="236" t="s">
        <v>929</v>
      </c>
      <c r="R204" s="173" t="s">
        <v>930</v>
      </c>
      <c r="S204" s="253" t="s">
        <v>931</v>
      </c>
      <c r="T204" s="134" t="s">
        <v>932</v>
      </c>
      <c r="U204" s="133" t="s">
        <v>265</v>
      </c>
      <c r="V204" s="133" t="s">
        <v>266</v>
      </c>
      <c r="W204" s="241"/>
    </row>
    <row r="205" spans="1:23" ht="66.75">
      <c r="A205" s="133" t="s">
        <v>313</v>
      </c>
      <c r="B205" s="274" t="s">
        <v>226</v>
      </c>
      <c r="C205" s="133" t="s">
        <v>922</v>
      </c>
      <c r="D205" s="133" t="s">
        <v>937</v>
      </c>
      <c r="E205" s="134" t="s">
        <v>938</v>
      </c>
      <c r="F205" s="133" t="s">
        <v>939</v>
      </c>
      <c r="G205" s="133" t="str">
        <f t="shared" si="7"/>
        <v>oas-nt-alm-01</v>
      </c>
      <c r="H205" s="133" t="s">
        <v>333</v>
      </c>
      <c r="I205" s="133" t="s">
        <v>365</v>
      </c>
      <c r="J205" s="177" t="s">
        <v>940</v>
      </c>
      <c r="K205" s="175" t="s">
        <v>941</v>
      </c>
      <c r="L205" s="175" t="s">
        <v>389</v>
      </c>
      <c r="M205" s="175" t="s">
        <v>256</v>
      </c>
      <c r="N205" s="190">
        <v>16531.2</v>
      </c>
      <c r="O205" s="190">
        <v>1500</v>
      </c>
      <c r="P205" s="169"/>
      <c r="Q205" s="134" t="s">
        <v>929</v>
      </c>
      <c r="R205" s="173" t="s">
        <v>930</v>
      </c>
      <c r="S205" s="253" t="s">
        <v>931</v>
      </c>
      <c r="T205" s="134" t="s">
        <v>932</v>
      </c>
      <c r="U205" s="133" t="s">
        <v>265</v>
      </c>
      <c r="V205" s="133" t="s">
        <v>266</v>
      </c>
    </row>
    <row r="206" spans="1:23" ht="66.75">
      <c r="A206" s="133" t="s">
        <v>313</v>
      </c>
      <c r="B206" s="274" t="s">
        <v>226</v>
      </c>
      <c r="C206" s="133" t="s">
        <v>922</v>
      </c>
      <c r="D206" s="133" t="s">
        <v>937</v>
      </c>
      <c r="E206" s="134" t="s">
        <v>938</v>
      </c>
      <c r="F206" s="179" t="s">
        <v>942</v>
      </c>
      <c r="G206" s="133" t="str">
        <f t="shared" si="7"/>
        <v>oas-nt-alm-01</v>
      </c>
      <c r="H206" s="133" t="s">
        <v>333</v>
      </c>
      <c r="I206" s="133" t="s">
        <v>380</v>
      </c>
      <c r="J206" s="177" t="s">
        <v>940</v>
      </c>
      <c r="K206" s="175" t="s">
        <v>941</v>
      </c>
      <c r="L206" s="175" t="s">
        <v>389</v>
      </c>
      <c r="M206" s="175" t="s">
        <v>256</v>
      </c>
      <c r="N206" s="190">
        <v>7060.6559999999999</v>
      </c>
      <c r="O206" s="190">
        <v>700</v>
      </c>
      <c r="P206" s="169"/>
      <c r="Q206" s="134" t="s">
        <v>929</v>
      </c>
      <c r="R206" s="173" t="s">
        <v>930</v>
      </c>
      <c r="S206" s="253" t="s">
        <v>931</v>
      </c>
      <c r="T206" s="134" t="s">
        <v>932</v>
      </c>
      <c r="U206" s="133" t="s">
        <v>265</v>
      </c>
      <c r="V206" s="133" t="s">
        <v>266</v>
      </c>
    </row>
    <row r="207" spans="1:23" ht="66.75">
      <c r="A207" s="133" t="s">
        <v>313</v>
      </c>
      <c r="B207" s="274" t="s">
        <v>226</v>
      </c>
      <c r="C207" s="133" t="s">
        <v>922</v>
      </c>
      <c r="D207" s="133" t="s">
        <v>937</v>
      </c>
      <c r="E207" s="134" t="s">
        <v>938</v>
      </c>
      <c r="F207" s="133" t="s">
        <v>943</v>
      </c>
      <c r="G207" s="133" t="str">
        <f t="shared" si="7"/>
        <v>oas-nt-alm-01</v>
      </c>
      <c r="H207" s="133" t="s">
        <v>333</v>
      </c>
      <c r="I207" s="133" t="s">
        <v>334</v>
      </c>
      <c r="J207" s="177" t="s">
        <v>940</v>
      </c>
      <c r="K207" s="175" t="s">
        <v>941</v>
      </c>
      <c r="L207" s="175" t="s">
        <v>389</v>
      </c>
      <c r="M207" s="175" t="s">
        <v>256</v>
      </c>
      <c r="N207" s="190">
        <v>7647.1919999999991</v>
      </c>
      <c r="O207" s="190">
        <v>1080</v>
      </c>
      <c r="P207" s="169" t="s">
        <v>944</v>
      </c>
      <c r="Q207" s="134" t="s">
        <v>929</v>
      </c>
      <c r="R207" s="173" t="s">
        <v>930</v>
      </c>
      <c r="S207" s="253" t="s">
        <v>931</v>
      </c>
      <c r="T207" s="134" t="s">
        <v>932</v>
      </c>
      <c r="U207" s="133" t="s">
        <v>265</v>
      </c>
      <c r="V207" s="133" t="s">
        <v>266</v>
      </c>
    </row>
    <row r="208" spans="1:23" ht="66.75">
      <c r="A208" s="133" t="s">
        <v>313</v>
      </c>
      <c r="B208" s="274" t="s">
        <v>226</v>
      </c>
      <c r="C208" s="133" t="s">
        <v>922</v>
      </c>
      <c r="D208" s="133" t="s">
        <v>945</v>
      </c>
      <c r="E208" s="134" t="s">
        <v>946</v>
      </c>
      <c r="F208" s="133" t="s">
        <v>947</v>
      </c>
      <c r="G208" s="133" t="str">
        <f t="shared" si="7"/>
        <v>mid-cp-cna-01</v>
      </c>
      <c r="H208" s="133" t="s">
        <v>333</v>
      </c>
      <c r="I208" s="133" t="s">
        <v>334</v>
      </c>
      <c r="J208" s="177" t="s">
        <v>948</v>
      </c>
      <c r="K208" s="175" t="s">
        <v>949</v>
      </c>
      <c r="L208" s="175" t="s">
        <v>681</v>
      </c>
      <c r="M208" s="175" t="s">
        <v>256</v>
      </c>
      <c r="N208" s="198">
        <f>O208*12</f>
        <v>1200</v>
      </c>
      <c r="O208" s="190">
        <v>100</v>
      </c>
      <c r="P208" s="163" t="s">
        <v>950</v>
      </c>
      <c r="Q208" s="135" t="s">
        <v>951</v>
      </c>
      <c r="R208" s="134" t="s">
        <v>952</v>
      </c>
      <c r="S208" s="253" t="s">
        <v>931</v>
      </c>
      <c r="T208" s="134" t="s">
        <v>932</v>
      </c>
      <c r="U208" s="133" t="s">
        <v>265</v>
      </c>
      <c r="V208" s="133" t="s">
        <v>266</v>
      </c>
    </row>
    <row r="209" spans="1:23" ht="83.25">
      <c r="A209" s="133" t="s">
        <v>313</v>
      </c>
      <c r="B209" s="274" t="s">
        <v>226</v>
      </c>
      <c r="C209" s="133" t="s">
        <v>303</v>
      </c>
      <c r="D209" s="133" t="s">
        <v>953</v>
      </c>
      <c r="E209" s="134" t="s">
        <v>954</v>
      </c>
      <c r="F209" s="133" t="s">
        <v>955</v>
      </c>
      <c r="G209" s="133" t="str">
        <f t="shared" si="7"/>
        <v>mid-lx-ims-01</v>
      </c>
      <c r="H209" s="133" t="s">
        <v>333</v>
      </c>
      <c r="I209" s="133" t="s">
        <v>365</v>
      </c>
      <c r="J209" s="177" t="s">
        <v>956</v>
      </c>
      <c r="K209" s="175" t="s">
        <v>957</v>
      </c>
      <c r="L209" s="175" t="s">
        <v>389</v>
      </c>
      <c r="M209" s="175" t="s">
        <v>256</v>
      </c>
      <c r="N209" s="190">
        <f>O209*12</f>
        <v>9600</v>
      </c>
      <c r="O209" s="190">
        <v>800</v>
      </c>
      <c r="P209" s="169"/>
      <c r="Q209" s="134" t="s">
        <v>958</v>
      </c>
      <c r="R209" s="134" t="s">
        <v>959</v>
      </c>
      <c r="S209" s="173" t="s">
        <v>960</v>
      </c>
      <c r="T209" s="134" t="s">
        <v>311</v>
      </c>
      <c r="U209" s="133" t="s">
        <v>265</v>
      </c>
      <c r="V209" s="133" t="s">
        <v>266</v>
      </c>
    </row>
    <row r="210" spans="1:23" ht="83.25">
      <c r="A210" s="133" t="s">
        <v>313</v>
      </c>
      <c r="B210" s="274" t="s">
        <v>226</v>
      </c>
      <c r="C210" s="133" t="s">
        <v>303</v>
      </c>
      <c r="D210" s="133" t="s">
        <v>953</v>
      </c>
      <c r="E210" s="134" t="s">
        <v>954</v>
      </c>
      <c r="F210" s="133" t="s">
        <v>961</v>
      </c>
      <c r="G210" s="133" t="str">
        <f t="shared" si="7"/>
        <v>mid-lx-ims-01</v>
      </c>
      <c r="H210" s="133" t="s">
        <v>333</v>
      </c>
      <c r="I210" s="133" t="s">
        <v>334</v>
      </c>
      <c r="J210" s="177" t="s">
        <v>962</v>
      </c>
      <c r="K210" s="175" t="s">
        <v>963</v>
      </c>
      <c r="L210" s="175" t="s">
        <v>389</v>
      </c>
      <c r="M210" s="175" t="s">
        <v>256</v>
      </c>
      <c r="N210" s="190">
        <f>O210*12</f>
        <v>7200</v>
      </c>
      <c r="O210" s="190">
        <v>600</v>
      </c>
      <c r="P210" s="169" t="s">
        <v>964</v>
      </c>
      <c r="Q210" s="134" t="s">
        <v>958</v>
      </c>
      <c r="R210" s="134" t="s">
        <v>965</v>
      </c>
      <c r="S210" s="253" t="s">
        <v>931</v>
      </c>
      <c r="T210" s="134" t="s">
        <v>311</v>
      </c>
      <c r="U210" s="133" t="s">
        <v>265</v>
      </c>
      <c r="V210" s="133" t="s">
        <v>266</v>
      </c>
    </row>
    <row r="211" spans="1:23" ht="83.25">
      <c r="A211" s="133" t="s">
        <v>313</v>
      </c>
      <c r="B211" s="274" t="s">
        <v>226</v>
      </c>
      <c r="C211" s="133" t="s">
        <v>303</v>
      </c>
      <c r="D211" s="133" t="s">
        <v>953</v>
      </c>
      <c r="E211" s="134" t="s">
        <v>954</v>
      </c>
      <c r="F211" s="133" t="s">
        <v>966</v>
      </c>
      <c r="G211" s="133" t="str">
        <f>LEFT(F211, 13)</f>
        <v>mid-lx-ims-01</v>
      </c>
      <c r="H211" s="133" t="s">
        <v>333</v>
      </c>
      <c r="I211" s="133" t="s">
        <v>380</v>
      </c>
      <c r="J211" s="177" t="s">
        <v>962</v>
      </c>
      <c r="K211" s="175" t="s">
        <v>963</v>
      </c>
      <c r="L211" s="175" t="s">
        <v>389</v>
      </c>
      <c r="M211" s="175" t="s">
        <v>256</v>
      </c>
      <c r="N211" s="190">
        <f>O211*12</f>
        <v>8400</v>
      </c>
      <c r="O211" s="190">
        <v>700</v>
      </c>
      <c r="P211" s="169" t="s">
        <v>964</v>
      </c>
      <c r="Q211" s="134" t="s">
        <v>958</v>
      </c>
      <c r="R211" s="134" t="s">
        <v>959</v>
      </c>
      <c r="S211" s="253" t="s">
        <v>931</v>
      </c>
      <c r="T211" s="134" t="s">
        <v>311</v>
      </c>
      <c r="U211" s="133" t="s">
        <v>265</v>
      </c>
      <c r="V211" s="133" t="s">
        <v>266</v>
      </c>
    </row>
    <row r="212" spans="1:23" ht="66.75">
      <c r="A212" s="133" t="s">
        <v>313</v>
      </c>
      <c r="B212" s="274" t="s">
        <v>226</v>
      </c>
      <c r="C212" s="133" t="s">
        <v>303</v>
      </c>
      <c r="D212" s="133" t="s">
        <v>953</v>
      </c>
      <c r="E212" s="134" t="s">
        <v>967</v>
      </c>
      <c r="F212" s="133" t="s">
        <v>968</v>
      </c>
      <c r="G212" s="133" t="str">
        <f t="shared" si="7"/>
        <v>mid-lx-mip-01</v>
      </c>
      <c r="H212" s="133" t="s">
        <v>333</v>
      </c>
      <c r="I212" s="133" t="s">
        <v>365</v>
      </c>
      <c r="J212" s="177" t="s">
        <v>956</v>
      </c>
      <c r="K212" s="175" t="s">
        <v>957</v>
      </c>
      <c r="L212" s="175" t="s">
        <v>433</v>
      </c>
      <c r="M212" s="175" t="s">
        <v>256</v>
      </c>
      <c r="N212" s="190">
        <v>17000</v>
      </c>
      <c r="O212" s="190">
        <v>1600</v>
      </c>
      <c r="P212" s="163"/>
      <c r="Q212" s="134" t="s">
        <v>969</v>
      </c>
      <c r="R212" s="134" t="s">
        <v>970</v>
      </c>
      <c r="S212" s="173" t="s">
        <v>960</v>
      </c>
      <c r="T212" s="134" t="s">
        <v>311</v>
      </c>
      <c r="U212" s="133" t="s">
        <v>265</v>
      </c>
      <c r="V212" s="133" t="s">
        <v>266</v>
      </c>
      <c r="W212" s="153" t="s">
        <v>971</v>
      </c>
    </row>
    <row r="213" spans="1:23" ht="66.75">
      <c r="A213" s="133" t="s">
        <v>313</v>
      </c>
      <c r="B213" s="274" t="s">
        <v>226</v>
      </c>
      <c r="C213" s="133" t="s">
        <v>303</v>
      </c>
      <c r="D213" s="133" t="s">
        <v>953</v>
      </c>
      <c r="E213" s="134" t="s">
        <v>967</v>
      </c>
      <c r="F213" s="133" t="s">
        <v>972</v>
      </c>
      <c r="G213" s="133" t="str">
        <f t="shared" si="7"/>
        <v>mid-lx-mip-01</v>
      </c>
      <c r="H213" s="133" t="s">
        <v>333</v>
      </c>
      <c r="I213" s="133" t="s">
        <v>380</v>
      </c>
      <c r="J213" s="177" t="s">
        <v>956</v>
      </c>
      <c r="K213" s="175" t="s">
        <v>957</v>
      </c>
      <c r="L213" s="175" t="s">
        <v>433</v>
      </c>
      <c r="M213" s="175" t="s">
        <v>256</v>
      </c>
      <c r="N213" s="190">
        <v>9500</v>
      </c>
      <c r="O213" s="190">
        <v>950</v>
      </c>
      <c r="P213" s="163"/>
      <c r="Q213" s="134" t="s">
        <v>969</v>
      </c>
      <c r="R213" s="134" t="s">
        <v>970</v>
      </c>
      <c r="S213" s="173" t="s">
        <v>960</v>
      </c>
      <c r="T213" s="134" t="s">
        <v>311</v>
      </c>
      <c r="U213" s="133" t="s">
        <v>265</v>
      </c>
      <c r="V213" s="133" t="s">
        <v>266</v>
      </c>
    </row>
    <row r="214" spans="1:23" ht="66.75">
      <c r="A214" s="133" t="s">
        <v>313</v>
      </c>
      <c r="B214" s="274" t="s">
        <v>226</v>
      </c>
      <c r="C214" s="133" t="s">
        <v>303</v>
      </c>
      <c r="D214" s="133" t="s">
        <v>953</v>
      </c>
      <c r="E214" s="134" t="s">
        <v>967</v>
      </c>
      <c r="F214" s="133" t="s">
        <v>973</v>
      </c>
      <c r="G214" s="133" t="str">
        <f t="shared" si="7"/>
        <v>mid-lx-mip-01</v>
      </c>
      <c r="H214" s="133" t="s">
        <v>333</v>
      </c>
      <c r="I214" s="133" t="s">
        <v>334</v>
      </c>
      <c r="J214" s="177" t="s">
        <v>956</v>
      </c>
      <c r="K214" s="175" t="s">
        <v>957</v>
      </c>
      <c r="L214" s="175" t="s">
        <v>433</v>
      </c>
      <c r="M214" s="175" t="s">
        <v>256</v>
      </c>
      <c r="N214" s="190">
        <v>5000</v>
      </c>
      <c r="O214" s="190">
        <v>500</v>
      </c>
      <c r="P214" s="163"/>
      <c r="Q214" s="134" t="s">
        <v>969</v>
      </c>
      <c r="R214" s="134" t="s">
        <v>970</v>
      </c>
      <c r="S214" s="173" t="s">
        <v>960</v>
      </c>
      <c r="T214" s="134" t="s">
        <v>311</v>
      </c>
      <c r="U214" s="133" t="s">
        <v>265</v>
      </c>
      <c r="V214" s="133" t="s">
        <v>266</v>
      </c>
    </row>
    <row r="215" spans="1:23" ht="16.5">
      <c r="A215" s="142" t="s">
        <v>261</v>
      </c>
      <c r="B215" s="274" t="s">
        <v>226</v>
      </c>
      <c r="C215" s="142" t="s">
        <v>974</v>
      </c>
      <c r="D215" s="133" t="s">
        <v>345</v>
      </c>
      <c r="E215" s="143" t="s">
        <v>975</v>
      </c>
      <c r="F215" s="142" t="s">
        <v>976</v>
      </c>
      <c r="G215" s="133" t="str">
        <f t="shared" si="7"/>
        <v>cloud-sre-poc</v>
      </c>
      <c r="H215" s="142" t="s">
        <v>31</v>
      </c>
      <c r="I215" s="142" t="s">
        <v>348</v>
      </c>
      <c r="J215" s="177"/>
      <c r="K215" s="184"/>
      <c r="L215" s="175" t="s">
        <v>590</v>
      </c>
      <c r="M215" s="175" t="s">
        <v>256</v>
      </c>
      <c r="N215" s="192">
        <v>3600</v>
      </c>
      <c r="O215" s="190">
        <v>300</v>
      </c>
      <c r="P215" s="166" t="s">
        <v>977</v>
      </c>
      <c r="S215" s="173"/>
      <c r="T215" s="134" t="s">
        <v>501</v>
      </c>
      <c r="U215" s="133" t="s">
        <v>265</v>
      </c>
      <c r="V215" s="133" t="s">
        <v>266</v>
      </c>
    </row>
    <row r="216" spans="1:23" ht="66.75">
      <c r="A216" s="133" t="s">
        <v>313</v>
      </c>
      <c r="B216" s="274" t="s">
        <v>226</v>
      </c>
      <c r="C216" s="134" t="s">
        <v>303</v>
      </c>
      <c r="D216" s="133" t="s">
        <v>304</v>
      </c>
      <c r="E216" s="134" t="s">
        <v>978</v>
      </c>
      <c r="F216" s="133" t="s">
        <v>979</v>
      </c>
      <c r="G216" s="133" t="str">
        <f t="shared" si="7"/>
        <v>otr-lx-fid-02</v>
      </c>
      <c r="H216" s="133" t="s">
        <v>333</v>
      </c>
      <c r="I216" s="133" t="s">
        <v>334</v>
      </c>
      <c r="J216" s="177" t="s">
        <v>980</v>
      </c>
      <c r="K216" s="175" t="s">
        <v>981</v>
      </c>
      <c r="L216" s="175" t="s">
        <v>788</v>
      </c>
      <c r="M216" s="175" t="s">
        <v>256</v>
      </c>
      <c r="N216" s="145">
        <f t="shared" ref="N216:N232" si="8">O216*12</f>
        <v>8400</v>
      </c>
      <c r="O216" s="190">
        <v>700</v>
      </c>
      <c r="Q216" s="136" t="s">
        <v>982</v>
      </c>
      <c r="R216" s="173" t="s">
        <v>983</v>
      </c>
      <c r="S216" s="173" t="s">
        <v>960</v>
      </c>
      <c r="T216" s="134" t="s">
        <v>311</v>
      </c>
      <c r="U216" s="133" t="s">
        <v>265</v>
      </c>
      <c r="V216" s="133" t="s">
        <v>266</v>
      </c>
    </row>
    <row r="217" spans="1:23" ht="66.75">
      <c r="A217" s="133" t="s">
        <v>313</v>
      </c>
      <c r="B217" s="274" t="s">
        <v>314</v>
      </c>
      <c r="C217" s="134" t="s">
        <v>427</v>
      </c>
      <c r="D217" s="133" t="s">
        <v>353</v>
      </c>
      <c r="E217" s="134" t="s">
        <v>984</v>
      </c>
      <c r="F217" s="133" t="s">
        <v>368</v>
      </c>
      <c r="G217" s="133" t="s">
        <v>356</v>
      </c>
      <c r="H217" s="133" t="s">
        <v>333</v>
      </c>
      <c r="I217" s="133" t="s">
        <v>334</v>
      </c>
      <c r="J217" s="177" t="s">
        <v>985</v>
      </c>
      <c r="K217" s="175" t="s">
        <v>986</v>
      </c>
      <c r="L217" s="175" t="s">
        <v>987</v>
      </c>
      <c r="M217" s="175" t="s">
        <v>256</v>
      </c>
      <c r="N217" s="145">
        <f t="shared" si="8"/>
        <v>25800</v>
      </c>
      <c r="O217" s="192">
        <v>2150</v>
      </c>
      <c r="P217" s="167" t="s">
        <v>988</v>
      </c>
      <c r="Q217" s="136" t="s">
        <v>989</v>
      </c>
      <c r="R217" s="173" t="s">
        <v>436</v>
      </c>
      <c r="S217" s="173" t="s">
        <v>445</v>
      </c>
      <c r="T217" s="134" t="s">
        <v>363</v>
      </c>
      <c r="U217" s="133" t="s">
        <v>265</v>
      </c>
      <c r="V217" s="133" t="s">
        <v>266</v>
      </c>
    </row>
    <row r="218" spans="1:23" ht="100.5">
      <c r="A218" s="133" t="s">
        <v>254</v>
      </c>
      <c r="B218" s="274" t="s">
        <v>226</v>
      </c>
      <c r="C218" s="134" t="s">
        <v>990</v>
      </c>
      <c r="D218" s="133" t="s">
        <v>573</v>
      </c>
      <c r="E218" s="134" t="s">
        <v>991</v>
      </c>
      <c r="F218" s="133" t="s">
        <v>992</v>
      </c>
      <c r="G218" s="133" t="s">
        <v>488</v>
      </c>
      <c r="H218" s="133" t="s">
        <v>333</v>
      </c>
      <c r="I218" s="133" t="s">
        <v>993</v>
      </c>
      <c r="J218" s="177" t="s">
        <v>994</v>
      </c>
      <c r="K218" s="175" t="s">
        <v>995</v>
      </c>
      <c r="L218" s="175" t="s">
        <v>512</v>
      </c>
      <c r="M218" s="175" t="s">
        <v>256</v>
      </c>
      <c r="N218" s="145">
        <f t="shared" si="8"/>
        <v>3600</v>
      </c>
      <c r="O218" s="192">
        <v>300</v>
      </c>
      <c r="P218" s="167" t="s">
        <v>996</v>
      </c>
      <c r="Q218" s="136" t="s">
        <v>997</v>
      </c>
      <c r="R218" s="134" t="s">
        <v>998</v>
      </c>
      <c r="S218" s="173" t="s">
        <v>999</v>
      </c>
      <c r="T218" s="134" t="s">
        <v>501</v>
      </c>
      <c r="U218" s="133" t="s">
        <v>265</v>
      </c>
      <c r="V218" s="133" t="s">
        <v>266</v>
      </c>
    </row>
    <row r="219" spans="1:23" ht="66.75">
      <c r="A219" s="133" t="s">
        <v>254</v>
      </c>
      <c r="B219" s="274" t="s">
        <v>314</v>
      </c>
      <c r="C219" s="133" t="s">
        <v>315</v>
      </c>
      <c r="D219" s="133" t="s">
        <v>727</v>
      </c>
      <c r="E219" s="134" t="s">
        <v>1000</v>
      </c>
      <c r="F219" s="133" t="s">
        <v>1001</v>
      </c>
      <c r="G219" s="133" t="str">
        <f>LEFT(F219, 13)</f>
        <v>ovs-lx-vdo-01</v>
      </c>
      <c r="H219" s="133" t="s">
        <v>333</v>
      </c>
      <c r="I219" s="133" t="s">
        <v>993</v>
      </c>
      <c r="J219" s="177" t="s">
        <v>1002</v>
      </c>
      <c r="K219" s="175" t="s">
        <v>1003</v>
      </c>
      <c r="L219" s="186" t="s">
        <v>1004</v>
      </c>
      <c r="M219" s="175" t="s">
        <v>256</v>
      </c>
      <c r="N219" s="145">
        <f t="shared" si="8"/>
        <v>24060</v>
      </c>
      <c r="O219" s="192">
        <v>2005</v>
      </c>
      <c r="P219" s="167" t="s">
        <v>1005</v>
      </c>
      <c r="Q219" s="134" t="s">
        <v>1006</v>
      </c>
      <c r="R219" s="134" t="s">
        <v>1007</v>
      </c>
      <c r="S219" s="173" t="s">
        <v>325</v>
      </c>
      <c r="T219" s="134" t="s">
        <v>325</v>
      </c>
      <c r="U219" s="133" t="s">
        <v>265</v>
      </c>
      <c r="V219" s="133" t="s">
        <v>266</v>
      </c>
    </row>
    <row r="220" spans="1:23" ht="66.75">
      <c r="A220" s="133" t="s">
        <v>313</v>
      </c>
      <c r="B220" s="274" t="s">
        <v>314</v>
      </c>
      <c r="C220" s="134" t="s">
        <v>427</v>
      </c>
      <c r="D220" s="133" t="s">
        <v>449</v>
      </c>
      <c r="E220" s="134" t="s">
        <v>1008</v>
      </c>
      <c r="F220" s="133" t="s">
        <v>1009</v>
      </c>
      <c r="G220" s="133" t="s">
        <v>1010</v>
      </c>
      <c r="H220" s="133" t="s">
        <v>333</v>
      </c>
      <c r="I220" s="133" t="s">
        <v>309</v>
      </c>
      <c r="J220" s="177" t="s">
        <v>1011</v>
      </c>
      <c r="K220" s="175" t="s">
        <v>1012</v>
      </c>
      <c r="L220" s="175" t="s">
        <v>421</v>
      </c>
      <c r="M220" s="175" t="s">
        <v>256</v>
      </c>
      <c r="N220" s="145">
        <f t="shared" si="8"/>
        <v>8400</v>
      </c>
      <c r="O220" s="192">
        <v>700</v>
      </c>
      <c r="P220" s="167" t="s">
        <v>1013</v>
      </c>
      <c r="Q220" s="134" t="s">
        <v>1014</v>
      </c>
      <c r="R220" s="173" t="s">
        <v>436</v>
      </c>
      <c r="S220" s="173" t="s">
        <v>445</v>
      </c>
      <c r="T220" s="134" t="s">
        <v>363</v>
      </c>
      <c r="U220" s="133" t="s">
        <v>265</v>
      </c>
      <c r="V220" s="133" t="s">
        <v>266</v>
      </c>
    </row>
    <row r="221" spans="1:23" ht="66.75">
      <c r="A221" s="133" t="s">
        <v>313</v>
      </c>
      <c r="B221" s="274" t="s">
        <v>314</v>
      </c>
      <c r="C221" s="134" t="s">
        <v>427</v>
      </c>
      <c r="D221" s="133" t="s">
        <v>449</v>
      </c>
      <c r="E221" s="134" t="s">
        <v>1008</v>
      </c>
      <c r="F221" s="133" t="s">
        <v>1015</v>
      </c>
      <c r="G221" s="133" t="s">
        <v>1010</v>
      </c>
      <c r="H221" s="133" t="s">
        <v>333</v>
      </c>
      <c r="I221" s="133" t="s">
        <v>343</v>
      </c>
      <c r="J221" s="177" t="s">
        <v>1016</v>
      </c>
      <c r="K221" s="175" t="s">
        <v>1012</v>
      </c>
      <c r="L221" s="175" t="s">
        <v>421</v>
      </c>
      <c r="M221" s="175" t="s">
        <v>256</v>
      </c>
      <c r="N221" s="145">
        <f t="shared" si="8"/>
        <v>9900</v>
      </c>
      <c r="O221" s="192">
        <v>825</v>
      </c>
      <c r="P221" s="167" t="s">
        <v>1017</v>
      </c>
      <c r="Q221" s="134" t="s">
        <v>1014</v>
      </c>
      <c r="R221" s="173" t="s">
        <v>436</v>
      </c>
      <c r="S221" s="173" t="s">
        <v>445</v>
      </c>
      <c r="T221" s="134" t="s">
        <v>363</v>
      </c>
      <c r="U221" s="133" t="s">
        <v>265</v>
      </c>
      <c r="V221" s="133" t="s">
        <v>266</v>
      </c>
    </row>
    <row r="222" spans="1:23" ht="66.75">
      <c r="A222" s="133" t="s">
        <v>313</v>
      </c>
      <c r="B222" s="274" t="s">
        <v>314</v>
      </c>
      <c r="C222" s="134" t="s">
        <v>427</v>
      </c>
      <c r="D222" s="133" t="s">
        <v>449</v>
      </c>
      <c r="E222" s="134" t="s">
        <v>1008</v>
      </c>
      <c r="F222" s="133" t="s">
        <v>1018</v>
      </c>
      <c r="G222" s="133" t="s">
        <v>1010</v>
      </c>
      <c r="H222" s="133" t="s">
        <v>333</v>
      </c>
      <c r="I222" s="133" t="s">
        <v>357</v>
      </c>
      <c r="J222" s="177" t="s">
        <v>1019</v>
      </c>
      <c r="K222" s="175" t="s">
        <v>1012</v>
      </c>
      <c r="L222" s="175" t="s">
        <v>421</v>
      </c>
      <c r="M222" s="175" t="s">
        <v>256</v>
      </c>
      <c r="N222" s="145">
        <f t="shared" si="8"/>
        <v>10200</v>
      </c>
      <c r="O222" s="192">
        <v>850</v>
      </c>
      <c r="Q222" s="134" t="s">
        <v>1014</v>
      </c>
      <c r="R222" s="173" t="s">
        <v>436</v>
      </c>
      <c r="S222" s="173" t="s">
        <v>445</v>
      </c>
      <c r="T222" s="134" t="s">
        <v>363</v>
      </c>
      <c r="U222" s="133" t="s">
        <v>265</v>
      </c>
      <c r="V222" s="133" t="s">
        <v>266</v>
      </c>
    </row>
    <row r="223" spans="1:23" ht="66.75">
      <c r="A223" s="133" t="s">
        <v>313</v>
      </c>
      <c r="B223" s="274" t="s">
        <v>226</v>
      </c>
      <c r="C223" s="133" t="s">
        <v>539</v>
      </c>
      <c r="D223" s="133" t="s">
        <v>573</v>
      </c>
      <c r="E223" s="134" t="s">
        <v>549</v>
      </c>
      <c r="F223" s="133" t="s">
        <v>1020</v>
      </c>
      <c r="G223" s="133" t="s">
        <v>1021</v>
      </c>
      <c r="H223" s="133" t="s">
        <v>333</v>
      </c>
      <c r="I223" s="133" t="s">
        <v>343</v>
      </c>
      <c r="J223" s="177" t="s">
        <v>551</v>
      </c>
      <c r="K223" s="175" t="s">
        <v>552</v>
      </c>
      <c r="M223" s="175" t="s">
        <v>256</v>
      </c>
      <c r="N223" s="145">
        <f t="shared" si="8"/>
        <v>1920</v>
      </c>
      <c r="O223" s="192">
        <v>160</v>
      </c>
      <c r="P223" s="167" t="s">
        <v>554</v>
      </c>
      <c r="Q223" s="134" t="s">
        <v>1022</v>
      </c>
      <c r="S223" s="173"/>
      <c r="T223" s="134" t="s">
        <v>528</v>
      </c>
      <c r="U223" s="133" t="s">
        <v>265</v>
      </c>
      <c r="V223" s="133" t="s">
        <v>266</v>
      </c>
    </row>
    <row r="224" spans="1:23" ht="66.75">
      <c r="A224" s="133" t="s">
        <v>313</v>
      </c>
      <c r="B224" s="274" t="s">
        <v>314</v>
      </c>
      <c r="C224" s="133" t="s">
        <v>93</v>
      </c>
      <c r="D224" s="133" t="s">
        <v>1023</v>
      </c>
      <c r="E224" s="134" t="s">
        <v>1024</v>
      </c>
      <c r="F224" s="133" t="s">
        <v>1025</v>
      </c>
      <c r="G224" s="133" t="s">
        <v>1026</v>
      </c>
      <c r="H224" s="133" t="s">
        <v>333</v>
      </c>
      <c r="I224" s="133" t="s">
        <v>309</v>
      </c>
      <c r="J224" s="177" t="s">
        <v>1027</v>
      </c>
      <c r="K224" s="175" t="s">
        <v>1028</v>
      </c>
      <c r="M224" s="175" t="s">
        <v>256</v>
      </c>
      <c r="N224" s="145">
        <f t="shared" si="8"/>
        <v>1648.6799999999998</v>
      </c>
      <c r="O224" s="192">
        <v>137.38999999999999</v>
      </c>
      <c r="P224" s="167" t="s">
        <v>1029</v>
      </c>
      <c r="Q224" s="134" t="s">
        <v>1030</v>
      </c>
      <c r="R224" s="134" t="s">
        <v>1031</v>
      </c>
      <c r="S224" s="173" t="s">
        <v>378</v>
      </c>
      <c r="T224" s="134" t="s">
        <v>363</v>
      </c>
      <c r="U224" s="133" t="s">
        <v>265</v>
      </c>
      <c r="V224" s="133" t="s">
        <v>266</v>
      </c>
    </row>
    <row r="225" spans="1:23" ht="66.75">
      <c r="A225" s="133" t="s">
        <v>313</v>
      </c>
      <c r="B225" s="274" t="s">
        <v>314</v>
      </c>
      <c r="C225" s="133" t="s">
        <v>384</v>
      </c>
      <c r="D225" s="133" t="s">
        <v>369</v>
      </c>
      <c r="E225" s="134" t="s">
        <v>417</v>
      </c>
      <c r="F225" s="133" t="s">
        <v>1032</v>
      </c>
      <c r="G225" s="133" t="str">
        <f t="shared" ref="G225:G227" si="9">LEFT(F225, 13)</f>
        <v>ebt-cp-lbc-02</v>
      </c>
      <c r="H225" s="133" t="s">
        <v>333</v>
      </c>
      <c r="I225" s="133" t="s">
        <v>343</v>
      </c>
      <c r="J225" s="177" t="s">
        <v>419</v>
      </c>
      <c r="K225" s="175" t="s">
        <v>1033</v>
      </c>
      <c r="L225" s="175" t="s">
        <v>421</v>
      </c>
      <c r="M225" s="175" t="s">
        <v>256</v>
      </c>
      <c r="N225" s="145">
        <f t="shared" si="8"/>
        <v>41124</v>
      </c>
      <c r="O225" s="190">
        <v>3427</v>
      </c>
      <c r="P225" s="167" t="s">
        <v>1034</v>
      </c>
      <c r="Q225" s="134" t="s">
        <v>423</v>
      </c>
      <c r="R225" s="173" t="s">
        <v>1035</v>
      </c>
      <c r="S225" s="173" t="s">
        <v>378</v>
      </c>
      <c r="T225" s="134" t="s">
        <v>363</v>
      </c>
      <c r="U225" s="133" t="s">
        <v>265</v>
      </c>
      <c r="V225" s="133" t="s">
        <v>266</v>
      </c>
    </row>
    <row r="226" spans="1:23" ht="66.75">
      <c r="A226" s="133" t="s">
        <v>313</v>
      </c>
      <c r="B226" s="274" t="s">
        <v>226</v>
      </c>
      <c r="C226" s="133" t="s">
        <v>34</v>
      </c>
      <c r="D226" s="133" t="s">
        <v>833</v>
      </c>
      <c r="E226" s="134" t="s">
        <v>880</v>
      </c>
      <c r="F226" s="133" t="s">
        <v>1036</v>
      </c>
      <c r="G226" s="133" t="str">
        <f t="shared" si="9"/>
        <v>crd-nt-act-15</v>
      </c>
      <c r="H226" s="133" t="s">
        <v>333</v>
      </c>
      <c r="I226" s="133" t="s">
        <v>357</v>
      </c>
      <c r="J226" s="177" t="s">
        <v>889</v>
      </c>
      <c r="K226" s="175" t="s">
        <v>883</v>
      </c>
      <c r="L226" s="175" t="s">
        <v>884</v>
      </c>
      <c r="M226" s="175" t="s">
        <v>256</v>
      </c>
      <c r="N226" s="145">
        <f t="shared" si="8"/>
        <v>9600</v>
      </c>
      <c r="O226" s="190">
        <v>800</v>
      </c>
      <c r="P226" s="163" t="s">
        <v>1037</v>
      </c>
      <c r="Q226" s="134" t="s">
        <v>886</v>
      </c>
      <c r="R226" s="173" t="s">
        <v>887</v>
      </c>
      <c r="S226" s="173"/>
      <c r="T226" s="134" t="s">
        <v>501</v>
      </c>
      <c r="U226" s="133" t="s">
        <v>265</v>
      </c>
      <c r="V226" s="133" t="s">
        <v>266</v>
      </c>
    </row>
    <row r="227" spans="1:23" ht="66.75">
      <c r="A227" s="133" t="s">
        <v>313</v>
      </c>
      <c r="B227" s="274" t="s">
        <v>314</v>
      </c>
      <c r="C227" s="134" t="s">
        <v>315</v>
      </c>
      <c r="D227" s="133" t="s">
        <v>316</v>
      </c>
      <c r="E227" s="134" t="s">
        <v>331</v>
      </c>
      <c r="F227" s="134" t="s">
        <v>1038</v>
      </c>
      <c r="G227" s="133" t="str">
        <f t="shared" si="9"/>
        <v>gai-cp-ncb-01</v>
      </c>
      <c r="H227" s="133" t="s">
        <v>333</v>
      </c>
      <c r="I227" s="133" t="s">
        <v>357</v>
      </c>
      <c r="J227" s="177" t="s">
        <v>335</v>
      </c>
      <c r="K227" s="175" t="s">
        <v>336</v>
      </c>
      <c r="L227" s="175" t="s">
        <v>337</v>
      </c>
      <c r="M227" s="175" t="s">
        <v>338</v>
      </c>
      <c r="N227" s="145">
        <f t="shared" si="8"/>
        <v>72000</v>
      </c>
      <c r="O227" s="190">
        <v>6000</v>
      </c>
      <c r="P227" s="167" t="s">
        <v>1039</v>
      </c>
      <c r="Q227" s="134" t="s">
        <v>1040</v>
      </c>
      <c r="R227" s="134" t="s">
        <v>1041</v>
      </c>
      <c r="S227" s="173" t="s">
        <v>325</v>
      </c>
      <c r="T227" s="134" t="s">
        <v>325</v>
      </c>
      <c r="U227" s="133" t="s">
        <v>265</v>
      </c>
      <c r="V227" s="133" t="s">
        <v>266</v>
      </c>
    </row>
    <row r="228" spans="1:23" ht="76.5" customHeight="1">
      <c r="A228" s="133" t="s">
        <v>313</v>
      </c>
      <c r="B228" s="274" t="s">
        <v>314</v>
      </c>
      <c r="C228" s="133" t="s">
        <v>315</v>
      </c>
      <c r="D228" s="133" t="s">
        <v>316</v>
      </c>
      <c r="E228" s="134" t="s">
        <v>1042</v>
      </c>
      <c r="F228" s="133" t="s">
        <v>1043</v>
      </c>
      <c r="G228" s="133" t="s">
        <v>1044</v>
      </c>
      <c r="H228" s="133" t="s">
        <v>333</v>
      </c>
      <c r="I228" s="133" t="s">
        <v>309</v>
      </c>
      <c r="J228" s="177" t="s">
        <v>1045</v>
      </c>
      <c r="K228" s="175" t="s">
        <v>1046</v>
      </c>
      <c r="M228" s="175" t="s">
        <v>338</v>
      </c>
      <c r="N228" s="145">
        <f t="shared" si="8"/>
        <v>7200</v>
      </c>
      <c r="O228" s="192">
        <v>600</v>
      </c>
      <c r="P228" s="167" t="s">
        <v>1047</v>
      </c>
      <c r="Q228" s="134" t="s">
        <v>1048</v>
      </c>
      <c r="R228" s="173" t="s">
        <v>1049</v>
      </c>
      <c r="S228" s="173" t="s">
        <v>325</v>
      </c>
      <c r="T228" s="134" t="s">
        <v>325</v>
      </c>
      <c r="U228" s="133" t="s">
        <v>265</v>
      </c>
      <c r="V228" s="133" t="s">
        <v>266</v>
      </c>
    </row>
    <row r="229" spans="1:23" ht="66.75">
      <c r="A229" s="133" t="s">
        <v>313</v>
      </c>
      <c r="B229" s="274" t="s">
        <v>226</v>
      </c>
      <c r="C229" s="133" t="s">
        <v>539</v>
      </c>
      <c r="D229" s="133" t="s">
        <v>573</v>
      </c>
      <c r="E229" s="134" t="s">
        <v>549</v>
      </c>
      <c r="F229" s="133" t="s">
        <v>1050</v>
      </c>
      <c r="G229" s="133" t="s">
        <v>1051</v>
      </c>
      <c r="H229" s="133" t="s">
        <v>333</v>
      </c>
      <c r="I229" s="133" t="s">
        <v>357</v>
      </c>
      <c r="J229" s="177" t="s">
        <v>551</v>
      </c>
      <c r="K229" s="175" t="s">
        <v>552</v>
      </c>
      <c r="M229" s="175" t="s">
        <v>256</v>
      </c>
      <c r="N229" s="145">
        <f t="shared" si="8"/>
        <v>4680</v>
      </c>
      <c r="O229" s="192">
        <v>390</v>
      </c>
      <c r="P229" s="153" t="s">
        <v>1052</v>
      </c>
      <c r="Q229" s="134" t="s">
        <v>1022</v>
      </c>
      <c r="R229" s="134" t="s">
        <v>546</v>
      </c>
      <c r="S229" s="173" t="s">
        <v>547</v>
      </c>
      <c r="T229" s="134" t="s">
        <v>528</v>
      </c>
      <c r="U229" s="133" t="s">
        <v>265</v>
      </c>
      <c r="V229" s="133" t="s">
        <v>266</v>
      </c>
    </row>
    <row r="230" spans="1:23" ht="66.75">
      <c r="A230" s="133" t="s">
        <v>313</v>
      </c>
      <c r="B230" s="274" t="s">
        <v>226</v>
      </c>
      <c r="C230" s="133" t="s">
        <v>539</v>
      </c>
      <c r="D230" s="133" t="s">
        <v>573</v>
      </c>
      <c r="E230" s="134" t="s">
        <v>541</v>
      </c>
      <c r="F230" s="133" t="s">
        <v>542</v>
      </c>
      <c r="G230" s="133" t="str">
        <f t="shared" ref="G230:G235" si="10">LEFT(F230, 13)</f>
        <v>com-cp-api-01</v>
      </c>
      <c r="H230" s="133" t="s">
        <v>333</v>
      </c>
      <c r="I230" s="133" t="s">
        <v>309</v>
      </c>
      <c r="J230" s="177" t="s">
        <v>543</v>
      </c>
      <c r="K230" s="175" t="s">
        <v>485</v>
      </c>
      <c r="M230" s="175" t="s">
        <v>256</v>
      </c>
      <c r="N230" s="145">
        <f t="shared" si="8"/>
        <v>8073.36</v>
      </c>
      <c r="O230" s="217">
        <v>672.78</v>
      </c>
      <c r="P230" s="167" t="s">
        <v>1053</v>
      </c>
      <c r="Q230" s="134" t="s">
        <v>545</v>
      </c>
      <c r="R230" s="134" t="s">
        <v>546</v>
      </c>
      <c r="S230" s="173" t="s">
        <v>547</v>
      </c>
      <c r="T230" s="134" t="s">
        <v>528</v>
      </c>
      <c r="U230" s="133" t="s">
        <v>265</v>
      </c>
      <c r="V230" s="133" t="s">
        <v>266</v>
      </c>
    </row>
    <row r="231" spans="1:23" ht="61.5" customHeight="1">
      <c r="A231" s="133" t="s">
        <v>313</v>
      </c>
      <c r="B231" s="274" t="s">
        <v>226</v>
      </c>
      <c r="C231" s="133" t="s">
        <v>303</v>
      </c>
      <c r="D231" s="133" t="s">
        <v>304</v>
      </c>
      <c r="E231" s="134" t="s">
        <v>978</v>
      </c>
      <c r="F231" s="133" t="s">
        <v>1054</v>
      </c>
      <c r="G231" s="133" t="str">
        <f t="shared" si="10"/>
        <v>otr-lx-fid-02</v>
      </c>
      <c r="H231" s="133" t="s">
        <v>333</v>
      </c>
      <c r="I231" s="133" t="s">
        <v>343</v>
      </c>
      <c r="J231" s="177" t="s">
        <v>980</v>
      </c>
      <c r="K231" s="175" t="s">
        <v>981</v>
      </c>
      <c r="L231" s="175" t="s">
        <v>788</v>
      </c>
      <c r="M231" s="175" t="s">
        <v>256</v>
      </c>
      <c r="N231" s="145">
        <f t="shared" si="8"/>
        <v>11840.400000000001</v>
      </c>
      <c r="O231" s="190">
        <v>986.7</v>
      </c>
      <c r="P231" s="153"/>
      <c r="Q231" s="136" t="s">
        <v>982</v>
      </c>
      <c r="R231" s="173" t="s">
        <v>1055</v>
      </c>
      <c r="S231" s="173" t="s">
        <v>960</v>
      </c>
      <c r="T231" s="134" t="s">
        <v>311</v>
      </c>
      <c r="U231" s="133" t="s">
        <v>265</v>
      </c>
      <c r="V231" s="133" t="s">
        <v>266</v>
      </c>
    </row>
    <row r="232" spans="1:23" ht="61.5" customHeight="1">
      <c r="A232" s="133" t="s">
        <v>313</v>
      </c>
      <c r="B232" s="274" t="s">
        <v>314</v>
      </c>
      <c r="C232" s="133" t="s">
        <v>315</v>
      </c>
      <c r="D232" s="133" t="s">
        <v>1056</v>
      </c>
      <c r="E232" s="134" t="s">
        <v>1057</v>
      </c>
      <c r="F232" s="133" t="s">
        <v>1058</v>
      </c>
      <c r="G232" s="133" t="str">
        <f t="shared" si="10"/>
        <v>gai-cp-ifa-01</v>
      </c>
      <c r="H232" s="133" t="s">
        <v>333</v>
      </c>
      <c r="I232" s="133" t="s">
        <v>309</v>
      </c>
      <c r="J232" s="177" t="s">
        <v>1045</v>
      </c>
      <c r="K232" s="175" t="s">
        <v>1046</v>
      </c>
      <c r="M232" s="175" t="s">
        <v>338</v>
      </c>
      <c r="N232" s="145">
        <f t="shared" si="8"/>
        <v>30000</v>
      </c>
      <c r="O232" s="190">
        <v>2500</v>
      </c>
      <c r="P232" s="167" t="s">
        <v>1059</v>
      </c>
      <c r="Q232" s="136" t="s">
        <v>1060</v>
      </c>
      <c r="R232" s="223" t="s">
        <v>1061</v>
      </c>
      <c r="S232" s="173" t="s">
        <v>325</v>
      </c>
      <c r="T232" s="134" t="s">
        <v>325</v>
      </c>
      <c r="U232" s="133" t="s">
        <v>265</v>
      </c>
      <c r="V232" s="133" t="s">
        <v>266</v>
      </c>
      <c r="W232" s="153" t="s">
        <v>1062</v>
      </c>
    </row>
    <row r="233" spans="1:23" ht="66.75">
      <c r="A233" s="133" t="s">
        <v>313</v>
      </c>
      <c r="B233" s="274" t="s">
        <v>226</v>
      </c>
      <c r="C233" s="133" t="s">
        <v>303</v>
      </c>
      <c r="D233" s="133" t="s">
        <v>304</v>
      </c>
      <c r="E233" s="134" t="s">
        <v>305</v>
      </c>
      <c r="F233" s="133" t="s">
        <v>1063</v>
      </c>
      <c r="G233" s="133" t="str">
        <f t="shared" si="10"/>
        <v>mid-lx-cbe-02</v>
      </c>
      <c r="H233" s="133" t="s">
        <v>333</v>
      </c>
      <c r="I233" s="133" t="s">
        <v>309</v>
      </c>
      <c r="J233" s="177" t="s">
        <v>1064</v>
      </c>
      <c r="K233" s="175" t="s">
        <v>1065</v>
      </c>
      <c r="M233" s="175" t="s">
        <v>256</v>
      </c>
      <c r="N233" s="145">
        <f t="shared" ref="N233" si="11">O233*12</f>
        <v>1800</v>
      </c>
      <c r="O233" s="218">
        <v>150</v>
      </c>
      <c r="P233" s="167" t="s">
        <v>1066</v>
      </c>
      <c r="Q233" s="136" t="s">
        <v>1067</v>
      </c>
      <c r="R233" s="134" t="s">
        <v>1068</v>
      </c>
      <c r="S233" s="173" t="s">
        <v>960</v>
      </c>
      <c r="T233" s="134" t="s">
        <v>311</v>
      </c>
      <c r="U233" s="133" t="s">
        <v>265</v>
      </c>
      <c r="V233" s="133" t="s">
        <v>266</v>
      </c>
    </row>
    <row r="234" spans="1:23" ht="66.75">
      <c r="A234" s="133" t="s">
        <v>313</v>
      </c>
      <c r="B234" s="274" t="s">
        <v>226</v>
      </c>
      <c r="C234" s="133" t="s">
        <v>303</v>
      </c>
      <c r="D234" s="133" t="s">
        <v>304</v>
      </c>
      <c r="E234" s="134" t="s">
        <v>305</v>
      </c>
      <c r="F234" s="133" t="s">
        <v>1069</v>
      </c>
      <c r="G234" s="133" t="str">
        <f t="shared" si="10"/>
        <v>mid-lx-cbe-02</v>
      </c>
      <c r="H234" s="133" t="s">
        <v>31</v>
      </c>
      <c r="I234" s="133" t="s">
        <v>343</v>
      </c>
      <c r="J234" s="177" t="s">
        <v>1064</v>
      </c>
      <c r="K234" s="175" t="s">
        <v>1065</v>
      </c>
      <c r="M234" s="175" t="s">
        <v>256</v>
      </c>
      <c r="N234" s="220">
        <f>O234*12</f>
        <v>4800</v>
      </c>
      <c r="O234" s="221">
        <v>400</v>
      </c>
      <c r="P234" s="222" t="s">
        <v>1070</v>
      </c>
      <c r="Q234" s="136" t="s">
        <v>1067</v>
      </c>
      <c r="R234" s="134" t="s">
        <v>1068</v>
      </c>
      <c r="S234" s="173" t="s">
        <v>960</v>
      </c>
      <c r="T234" s="134" t="s">
        <v>311</v>
      </c>
      <c r="U234" s="133" t="s">
        <v>265</v>
      </c>
      <c r="V234" s="133" t="s">
        <v>266</v>
      </c>
    </row>
    <row r="235" spans="1:23" ht="83.25">
      <c r="A235" s="133" t="s">
        <v>313</v>
      </c>
      <c r="B235" s="274" t="s">
        <v>226</v>
      </c>
      <c r="C235" s="133" t="s">
        <v>303</v>
      </c>
      <c r="D235" s="133" t="s">
        <v>800</v>
      </c>
      <c r="E235" s="134" t="s">
        <v>801</v>
      </c>
      <c r="F235" s="133" t="s">
        <v>1071</v>
      </c>
      <c r="G235" s="133" t="str">
        <f t="shared" si="10"/>
        <v>mid-lx-csd-01</v>
      </c>
      <c r="H235" s="133" t="s">
        <v>333</v>
      </c>
      <c r="I235" s="133" t="s">
        <v>343</v>
      </c>
      <c r="J235" s="177" t="s">
        <v>803</v>
      </c>
      <c r="K235" s="175" t="s">
        <v>804</v>
      </c>
      <c r="L235" s="175" t="s">
        <v>805</v>
      </c>
      <c r="M235" s="175" t="s">
        <v>256</v>
      </c>
      <c r="N235" s="190">
        <v>8200</v>
      </c>
      <c r="O235" s="219">
        <v>2000</v>
      </c>
      <c r="P235" s="169" t="s">
        <v>1072</v>
      </c>
      <c r="Q235" s="134" t="s">
        <v>1073</v>
      </c>
      <c r="R235" s="173" t="s">
        <v>1074</v>
      </c>
      <c r="S235" s="173" t="s">
        <v>960</v>
      </c>
      <c r="T235" s="134" t="s">
        <v>311</v>
      </c>
      <c r="U235" s="133" t="s">
        <v>265</v>
      </c>
      <c r="V235" s="133" t="s">
        <v>266</v>
      </c>
    </row>
    <row r="236" spans="1:23" ht="66.75">
      <c r="A236" s="133" t="s">
        <v>313</v>
      </c>
      <c r="B236" s="274" t="s">
        <v>226</v>
      </c>
      <c r="C236" s="133" t="s">
        <v>303</v>
      </c>
      <c r="D236" s="133" t="s">
        <v>304</v>
      </c>
      <c r="E236" s="134" t="s">
        <v>305</v>
      </c>
      <c r="F236" s="133" t="s">
        <v>1075</v>
      </c>
      <c r="G236" s="133" t="str">
        <f t="shared" ref="G236:G262" si="12">LEFT(F236, 13)</f>
        <v>mid-lx-cbe-02</v>
      </c>
      <c r="H236" s="133" t="s">
        <v>333</v>
      </c>
      <c r="I236" s="133" t="s">
        <v>357</v>
      </c>
      <c r="J236" s="177" t="s">
        <v>1064</v>
      </c>
      <c r="K236" s="175" t="s">
        <v>1065</v>
      </c>
      <c r="M236" s="175" t="s">
        <v>256</v>
      </c>
      <c r="N236" s="145">
        <f>O236*12</f>
        <v>7200</v>
      </c>
      <c r="O236" s="218">
        <v>600</v>
      </c>
      <c r="P236" s="167" t="s">
        <v>1076</v>
      </c>
      <c r="Q236" s="136" t="s">
        <v>1067</v>
      </c>
      <c r="R236" s="134" t="s">
        <v>1068</v>
      </c>
      <c r="S236" s="173" t="s">
        <v>960</v>
      </c>
      <c r="T236" s="134" t="s">
        <v>311</v>
      </c>
      <c r="U236" s="133" t="s">
        <v>265</v>
      </c>
      <c r="V236" s="133" t="s">
        <v>266</v>
      </c>
    </row>
    <row r="237" spans="1:23" ht="83.25">
      <c r="A237" s="133" t="s">
        <v>313</v>
      </c>
      <c r="B237" s="274" t="s">
        <v>314</v>
      </c>
      <c r="C237" s="133" t="s">
        <v>427</v>
      </c>
      <c r="D237" s="133" t="s">
        <v>449</v>
      </c>
      <c r="E237" s="134" t="s">
        <v>1077</v>
      </c>
      <c r="F237" s="133" t="s">
        <v>1078</v>
      </c>
      <c r="G237" s="133" t="str">
        <f t="shared" si="12"/>
        <v>com-lx-dab-01</v>
      </c>
      <c r="H237" s="133" t="s">
        <v>333</v>
      </c>
      <c r="I237" s="133" t="s">
        <v>309</v>
      </c>
      <c r="J237" s="177" t="s">
        <v>1079</v>
      </c>
      <c r="K237" s="175" t="s">
        <v>1080</v>
      </c>
      <c r="M237" s="175" t="s">
        <v>256</v>
      </c>
      <c r="N237" s="145">
        <f t="shared" ref="N237" si="13">O237*12</f>
        <v>7200</v>
      </c>
      <c r="O237" s="218">
        <v>600</v>
      </c>
      <c r="P237" s="167" t="s">
        <v>1081</v>
      </c>
      <c r="Q237" s="136" t="s">
        <v>1082</v>
      </c>
      <c r="R237" s="173" t="s">
        <v>436</v>
      </c>
      <c r="S237" s="173" t="s">
        <v>445</v>
      </c>
      <c r="T237" s="134" t="s">
        <v>363</v>
      </c>
      <c r="U237" s="133" t="s">
        <v>265</v>
      </c>
      <c r="V237" s="133" t="s">
        <v>266</v>
      </c>
    </row>
    <row r="238" spans="1:23" ht="66.75">
      <c r="A238" s="133" t="s">
        <v>313</v>
      </c>
      <c r="B238" s="274" t="s">
        <v>226</v>
      </c>
      <c r="C238" s="133" t="s">
        <v>906</v>
      </c>
      <c r="D238" s="133" t="s">
        <v>907</v>
      </c>
      <c r="E238" s="134" t="s">
        <v>908</v>
      </c>
      <c r="F238" s="133" t="s">
        <v>1083</v>
      </c>
      <c r="G238" s="133" t="str">
        <f t="shared" si="12"/>
        <v>crd-lx-acs-01</v>
      </c>
      <c r="H238" s="142" t="s">
        <v>31</v>
      </c>
      <c r="I238" s="133" t="s">
        <v>357</v>
      </c>
      <c r="J238" s="177" t="s">
        <v>910</v>
      </c>
      <c r="K238" s="175" t="s">
        <v>911</v>
      </c>
      <c r="L238" s="175" t="s">
        <v>901</v>
      </c>
      <c r="M238" s="175" t="s">
        <v>256</v>
      </c>
      <c r="N238" s="145">
        <f>O238*12</f>
        <v>52005.36</v>
      </c>
      <c r="O238" s="218">
        <v>4333.78</v>
      </c>
      <c r="P238" s="167" t="s">
        <v>1084</v>
      </c>
      <c r="Q238" s="136" t="s">
        <v>913</v>
      </c>
      <c r="R238" s="134" t="s">
        <v>914</v>
      </c>
      <c r="S238" s="173"/>
      <c r="T238" s="134" t="s">
        <v>501</v>
      </c>
      <c r="U238" s="133" t="s">
        <v>265</v>
      </c>
      <c r="V238" s="133" t="s">
        <v>266</v>
      </c>
    </row>
    <row r="239" spans="1:23" ht="83.25">
      <c r="A239" s="133" t="s">
        <v>809</v>
      </c>
      <c r="B239" s="274" t="s">
        <v>314</v>
      </c>
      <c r="C239" s="133" t="s">
        <v>93</v>
      </c>
      <c r="D239" s="133" t="s">
        <v>1023</v>
      </c>
      <c r="E239" s="134" t="s">
        <v>1024</v>
      </c>
      <c r="F239" s="133" t="s">
        <v>1085</v>
      </c>
      <c r="G239" s="133" t="str">
        <f t="shared" si="12"/>
        <v>mid-cp-gai-03</v>
      </c>
      <c r="H239" s="133" t="s">
        <v>333</v>
      </c>
      <c r="I239" s="133" t="s">
        <v>343</v>
      </c>
      <c r="J239" s="177" t="s">
        <v>1027</v>
      </c>
      <c r="K239" s="175" t="s">
        <v>1028</v>
      </c>
      <c r="M239" s="175" t="s">
        <v>256</v>
      </c>
      <c r="N239" s="145">
        <f>O239*12</f>
        <v>2641.68</v>
      </c>
      <c r="O239" s="192">
        <v>220.14</v>
      </c>
      <c r="P239" s="167" t="s">
        <v>1086</v>
      </c>
      <c r="Q239" s="134" t="s">
        <v>1030</v>
      </c>
      <c r="R239" s="134" t="s">
        <v>1087</v>
      </c>
      <c r="S239" s="173" t="s">
        <v>378</v>
      </c>
      <c r="T239" s="134" t="s">
        <v>363</v>
      </c>
      <c r="U239" s="133" t="s">
        <v>265</v>
      </c>
      <c r="V239" s="133" t="s">
        <v>266</v>
      </c>
    </row>
    <row r="240" spans="1:23" ht="66.75">
      <c r="A240" s="133" t="s">
        <v>313</v>
      </c>
      <c r="B240" s="274" t="s">
        <v>226</v>
      </c>
      <c r="C240" s="133" t="s">
        <v>539</v>
      </c>
      <c r="D240" s="133" t="s">
        <v>573</v>
      </c>
      <c r="E240" s="134" t="s">
        <v>541</v>
      </c>
      <c r="F240" s="133" t="s">
        <v>1088</v>
      </c>
      <c r="G240" s="133" t="str">
        <f t="shared" si="12"/>
        <v>com-cp-api-01</v>
      </c>
      <c r="H240" s="133" t="s">
        <v>333</v>
      </c>
      <c r="I240" s="133" t="s">
        <v>343</v>
      </c>
      <c r="J240" s="177" t="s">
        <v>543</v>
      </c>
      <c r="K240" s="175" t="s">
        <v>485</v>
      </c>
      <c r="M240" s="175" t="s">
        <v>256</v>
      </c>
      <c r="N240" s="145">
        <f>O240*12</f>
        <v>7680</v>
      </c>
      <c r="O240" s="217">
        <v>640</v>
      </c>
      <c r="P240" s="167" t="s">
        <v>1089</v>
      </c>
      <c r="Q240" s="134" t="s">
        <v>545</v>
      </c>
      <c r="R240" s="134" t="s">
        <v>546</v>
      </c>
      <c r="S240" s="173" t="s">
        <v>547</v>
      </c>
      <c r="T240" s="134" t="s">
        <v>528</v>
      </c>
      <c r="U240" s="133" t="s">
        <v>265</v>
      </c>
      <c r="V240" s="133" t="s">
        <v>266</v>
      </c>
    </row>
    <row r="241" spans="1:23" ht="66.75">
      <c r="A241" s="133" t="s">
        <v>313</v>
      </c>
      <c r="B241" s="274" t="s">
        <v>314</v>
      </c>
      <c r="C241" s="133" t="s">
        <v>315</v>
      </c>
      <c r="D241" s="133" t="s">
        <v>1056</v>
      </c>
      <c r="E241" s="134" t="s">
        <v>1057</v>
      </c>
      <c r="F241" s="133" t="s">
        <v>1090</v>
      </c>
      <c r="G241" s="133" t="str">
        <f t="shared" si="12"/>
        <v>gai-cp-ifa-01</v>
      </c>
      <c r="H241" s="133" t="s">
        <v>333</v>
      </c>
      <c r="I241" s="133" t="s">
        <v>380</v>
      </c>
      <c r="J241" s="177" t="s">
        <v>1045</v>
      </c>
      <c r="K241" s="175" t="s">
        <v>1046</v>
      </c>
      <c r="M241" s="175" t="s">
        <v>338</v>
      </c>
      <c r="N241" s="145">
        <f t="shared" ref="N241:N244" si="14">O241*12</f>
        <v>6000</v>
      </c>
      <c r="O241" s="190">
        <v>500</v>
      </c>
      <c r="P241" s="167" t="s">
        <v>1091</v>
      </c>
      <c r="Q241" s="136" t="s">
        <v>1060</v>
      </c>
      <c r="R241" s="223" t="s">
        <v>1092</v>
      </c>
      <c r="S241" s="173" t="s">
        <v>325</v>
      </c>
      <c r="T241" s="134" t="s">
        <v>325</v>
      </c>
      <c r="U241" s="133" t="s">
        <v>265</v>
      </c>
      <c r="V241" s="133" t="s">
        <v>266</v>
      </c>
      <c r="W241" s="153" t="s">
        <v>1062</v>
      </c>
    </row>
    <row r="242" spans="1:23" ht="75.75" customHeight="1">
      <c r="A242" s="133" t="s">
        <v>313</v>
      </c>
      <c r="B242" s="274" t="s">
        <v>314</v>
      </c>
      <c r="C242" s="133" t="s">
        <v>315</v>
      </c>
      <c r="D242" s="133" t="s">
        <v>1056</v>
      </c>
      <c r="E242" s="134" t="s">
        <v>1093</v>
      </c>
      <c r="F242" s="133" t="s">
        <v>1094</v>
      </c>
      <c r="G242" s="133" t="str">
        <f t="shared" si="12"/>
        <v>gai-cp-ifa-01</v>
      </c>
      <c r="H242" s="133" t="s">
        <v>333</v>
      </c>
      <c r="I242" s="133" t="s">
        <v>365</v>
      </c>
      <c r="J242" s="177" t="s">
        <v>1045</v>
      </c>
      <c r="K242" s="175" t="s">
        <v>1046</v>
      </c>
      <c r="M242" s="175" t="s">
        <v>338</v>
      </c>
      <c r="N242" s="145">
        <f t="shared" si="14"/>
        <v>60000</v>
      </c>
      <c r="O242" s="190">
        <v>5000</v>
      </c>
      <c r="P242" s="167" t="s">
        <v>1095</v>
      </c>
      <c r="Q242" s="136" t="s">
        <v>1060</v>
      </c>
      <c r="R242" s="223" t="s">
        <v>1061</v>
      </c>
      <c r="S242" s="173" t="s">
        <v>325</v>
      </c>
      <c r="T242" s="134" t="s">
        <v>325</v>
      </c>
      <c r="U242" s="133" t="s">
        <v>265</v>
      </c>
      <c r="V242" s="133" t="s">
        <v>266</v>
      </c>
      <c r="W242" s="153" t="s">
        <v>1062</v>
      </c>
    </row>
    <row r="243" spans="1:23" ht="83.25" customHeight="1">
      <c r="A243" s="133" t="s">
        <v>313</v>
      </c>
      <c r="B243" s="274" t="s">
        <v>314</v>
      </c>
      <c r="C243" s="133" t="s">
        <v>427</v>
      </c>
      <c r="D243" s="133" t="s">
        <v>449</v>
      </c>
      <c r="E243" s="134" t="s">
        <v>1096</v>
      </c>
      <c r="F243" s="133" t="s">
        <v>1097</v>
      </c>
      <c r="G243" s="133" t="str">
        <f t="shared" si="12"/>
        <v>svc-lx-bts-01</v>
      </c>
      <c r="H243" s="133" t="s">
        <v>333</v>
      </c>
      <c r="I243" s="133" t="s">
        <v>309</v>
      </c>
      <c r="J243" s="224" t="s">
        <v>1098</v>
      </c>
      <c r="K243" s="175" t="s">
        <v>1099</v>
      </c>
      <c r="M243" s="175" t="s">
        <v>256</v>
      </c>
      <c r="N243" s="145">
        <f t="shared" si="14"/>
        <v>28800</v>
      </c>
      <c r="O243" s="190">
        <v>2400</v>
      </c>
      <c r="P243" s="167" t="s">
        <v>1100</v>
      </c>
      <c r="Q243" s="136" t="s">
        <v>1101</v>
      </c>
      <c r="R243" s="173" t="s">
        <v>436</v>
      </c>
      <c r="S243" s="173" t="s">
        <v>445</v>
      </c>
      <c r="T243" s="134" t="s">
        <v>363</v>
      </c>
      <c r="U243" s="133" t="s">
        <v>265</v>
      </c>
      <c r="V243" s="133" t="s">
        <v>266</v>
      </c>
    </row>
    <row r="244" spans="1:23" ht="75" customHeight="1">
      <c r="A244" s="133" t="s">
        <v>313</v>
      </c>
      <c r="B244" s="274" t="s">
        <v>314</v>
      </c>
      <c r="C244" s="133" t="s">
        <v>427</v>
      </c>
      <c r="D244" s="133" t="s">
        <v>449</v>
      </c>
      <c r="E244" s="134" t="s">
        <v>1096</v>
      </c>
      <c r="F244" s="133" t="s">
        <v>1102</v>
      </c>
      <c r="G244" s="133" t="str">
        <f t="shared" si="12"/>
        <v>svc-lx-bts-01</v>
      </c>
      <c r="H244" s="133" t="s">
        <v>333</v>
      </c>
      <c r="I244" s="133" t="s">
        <v>343</v>
      </c>
      <c r="J244" s="224" t="s">
        <v>1098</v>
      </c>
      <c r="K244" s="175" t="s">
        <v>1099</v>
      </c>
      <c r="M244" s="175" t="s">
        <v>256</v>
      </c>
      <c r="N244" s="145">
        <f t="shared" si="14"/>
        <v>30912</v>
      </c>
      <c r="O244" s="190">
        <v>2576</v>
      </c>
      <c r="P244" s="168" t="s">
        <v>1103</v>
      </c>
      <c r="Q244" s="136" t="s">
        <v>1101</v>
      </c>
      <c r="R244" s="173" t="s">
        <v>436</v>
      </c>
      <c r="S244" s="173" t="s">
        <v>445</v>
      </c>
      <c r="T244" s="134" t="s">
        <v>363</v>
      </c>
      <c r="U244" s="133" t="s">
        <v>265</v>
      </c>
      <c r="V244" s="133" t="s">
        <v>266</v>
      </c>
    </row>
    <row r="245" spans="1:23" ht="66.75">
      <c r="A245" s="133" t="s">
        <v>313</v>
      </c>
      <c r="B245" s="274" t="s">
        <v>226</v>
      </c>
      <c r="C245" s="133" t="s">
        <v>34</v>
      </c>
      <c r="D245" s="133" t="s">
        <v>863</v>
      </c>
      <c r="E245" s="134" t="s">
        <v>864</v>
      </c>
      <c r="F245" s="133" t="s">
        <v>1104</v>
      </c>
      <c r="G245" s="133" t="str">
        <f t="shared" si="12"/>
        <v>fnm-cp-rcp-01</v>
      </c>
      <c r="H245" s="133" t="s">
        <v>333</v>
      </c>
      <c r="I245" s="133" t="s">
        <v>357</v>
      </c>
      <c r="J245" s="177" t="s">
        <v>824</v>
      </c>
      <c r="K245" s="175" t="s">
        <v>825</v>
      </c>
      <c r="L245" s="175" t="s">
        <v>867</v>
      </c>
      <c r="M245" s="175" t="s">
        <v>256</v>
      </c>
      <c r="N245" s="190">
        <v>12000</v>
      </c>
      <c r="O245" s="190">
        <v>1200</v>
      </c>
      <c r="P245" s="169"/>
      <c r="Q245" s="136" t="s">
        <v>868</v>
      </c>
      <c r="R245" s="134" t="s">
        <v>832</v>
      </c>
      <c r="S245" s="173" t="s">
        <v>829</v>
      </c>
      <c r="T245" s="134" t="s">
        <v>501</v>
      </c>
      <c r="U245" s="133" t="s">
        <v>265</v>
      </c>
      <c r="V245" s="133" t="s">
        <v>266</v>
      </c>
    </row>
    <row r="246" spans="1:23" ht="66.75">
      <c r="A246" s="133" t="s">
        <v>313</v>
      </c>
      <c r="B246" s="274" t="s">
        <v>630</v>
      </c>
      <c r="C246" s="133" t="s">
        <v>631</v>
      </c>
      <c r="D246" s="133" t="s">
        <v>632</v>
      </c>
      <c r="E246" s="134" t="s">
        <v>1105</v>
      </c>
      <c r="F246" s="133" t="s">
        <v>1106</v>
      </c>
      <c r="G246" s="133" t="str">
        <f t="shared" si="12"/>
        <v>ovs-lx-vdm-01</v>
      </c>
      <c r="H246" s="133" t="s">
        <v>333</v>
      </c>
      <c r="I246" s="133" t="s">
        <v>309</v>
      </c>
      <c r="J246" s="177" t="s">
        <v>651</v>
      </c>
      <c r="K246" s="175" t="s">
        <v>652</v>
      </c>
      <c r="M246" s="175" t="s">
        <v>256</v>
      </c>
      <c r="N246" s="190">
        <f>O246*12</f>
        <v>7200</v>
      </c>
      <c r="O246" s="192">
        <v>600</v>
      </c>
      <c r="P246" s="163"/>
      <c r="Q246" s="136" t="s">
        <v>1107</v>
      </c>
      <c r="R246" s="173" t="s">
        <v>638</v>
      </c>
      <c r="S246" s="173" t="s">
        <v>639</v>
      </c>
      <c r="T246" s="134" t="s">
        <v>640</v>
      </c>
      <c r="U246" s="133" t="s">
        <v>265</v>
      </c>
      <c r="V246" s="133" t="s">
        <v>266</v>
      </c>
    </row>
    <row r="247" spans="1:23" ht="66.75">
      <c r="A247" s="133" t="s">
        <v>313</v>
      </c>
      <c r="B247" s="274" t="s">
        <v>226</v>
      </c>
      <c r="C247" s="133" t="s">
        <v>782</v>
      </c>
      <c r="D247" s="133" t="s">
        <v>1108</v>
      </c>
      <c r="E247" s="134" t="s">
        <v>1109</v>
      </c>
      <c r="F247" s="133" t="s">
        <v>1110</v>
      </c>
      <c r="G247" s="133" t="str">
        <f t="shared" si="12"/>
        <v>brn-cp-vnm-01</v>
      </c>
      <c r="H247" s="133" t="s">
        <v>333</v>
      </c>
      <c r="I247" s="133" t="s">
        <v>309</v>
      </c>
      <c r="J247" s="177" t="s">
        <v>1111</v>
      </c>
      <c r="K247" s="175" t="s">
        <v>1112</v>
      </c>
      <c r="M247" s="175" t="s">
        <v>256</v>
      </c>
      <c r="N247" s="190">
        <f>O247*12</f>
        <v>36000</v>
      </c>
      <c r="O247" s="192">
        <v>3000</v>
      </c>
      <c r="P247" s="167" t="s">
        <v>1113</v>
      </c>
      <c r="Q247" s="134" t="s">
        <v>1114</v>
      </c>
      <c r="R247" s="173" t="s">
        <v>1115</v>
      </c>
      <c r="S247" s="173" t="s">
        <v>793</v>
      </c>
      <c r="T247" s="134" t="s">
        <v>311</v>
      </c>
      <c r="U247" s="133" t="s">
        <v>265</v>
      </c>
      <c r="V247" s="133" t="s">
        <v>266</v>
      </c>
    </row>
    <row r="248" spans="1:23" ht="73.5" customHeight="1">
      <c r="A248" s="133" t="s">
        <v>313</v>
      </c>
      <c r="B248" s="274" t="s">
        <v>630</v>
      </c>
      <c r="C248" s="133" t="s">
        <v>631</v>
      </c>
      <c r="D248" s="133" t="s">
        <v>632</v>
      </c>
      <c r="E248" s="134" t="s">
        <v>1116</v>
      </c>
      <c r="F248" s="133" t="s">
        <v>1117</v>
      </c>
      <c r="G248" s="133" t="str">
        <f t="shared" si="12"/>
        <v>ovs-lx-vis-01</v>
      </c>
      <c r="H248" s="133" t="s">
        <v>333</v>
      </c>
      <c r="I248" s="133" t="s">
        <v>357</v>
      </c>
      <c r="J248" s="177" t="s">
        <v>635</v>
      </c>
      <c r="K248" s="175" t="s">
        <v>645</v>
      </c>
      <c r="M248" s="175" t="s">
        <v>256</v>
      </c>
      <c r="N248" s="190">
        <f t="shared" ref="N248:N256" si="15">O248*12</f>
        <v>4320</v>
      </c>
      <c r="O248" s="192">
        <v>360</v>
      </c>
      <c r="P248" s="167" t="s">
        <v>1118</v>
      </c>
      <c r="Q248" s="136" t="s">
        <v>1119</v>
      </c>
      <c r="R248" s="173" t="s">
        <v>1115</v>
      </c>
      <c r="S248" s="173" t="s">
        <v>639</v>
      </c>
      <c r="T248" s="134" t="s">
        <v>640</v>
      </c>
      <c r="U248" s="133" t="s">
        <v>265</v>
      </c>
      <c r="V248" s="133" t="s">
        <v>266</v>
      </c>
    </row>
    <row r="249" spans="1:23" ht="66.75">
      <c r="A249" s="133" t="s">
        <v>313</v>
      </c>
      <c r="B249" s="274" t="s">
        <v>630</v>
      </c>
      <c r="C249" s="133" t="s">
        <v>631</v>
      </c>
      <c r="D249" s="133" t="s">
        <v>632</v>
      </c>
      <c r="E249" s="134" t="s">
        <v>1116</v>
      </c>
      <c r="F249" s="133" t="s">
        <v>1120</v>
      </c>
      <c r="G249" s="133" t="str">
        <f t="shared" si="12"/>
        <v>ovs-lx-vis-01</v>
      </c>
      <c r="H249" s="133" t="s">
        <v>333</v>
      </c>
      <c r="I249" s="133" t="s">
        <v>309</v>
      </c>
      <c r="J249" s="177" t="s">
        <v>635</v>
      </c>
      <c r="K249" s="175" t="s">
        <v>645</v>
      </c>
      <c r="M249" s="175" t="s">
        <v>256</v>
      </c>
      <c r="N249" s="190">
        <f t="shared" si="15"/>
        <v>6000</v>
      </c>
      <c r="O249" s="192">
        <v>500</v>
      </c>
      <c r="P249" s="167" t="s">
        <v>1121</v>
      </c>
      <c r="Q249" s="136" t="s">
        <v>1119</v>
      </c>
      <c r="R249" s="254" t="s">
        <v>1115</v>
      </c>
      <c r="S249" s="173" t="s">
        <v>639</v>
      </c>
      <c r="T249" s="134" t="s">
        <v>640</v>
      </c>
      <c r="U249" s="133" t="s">
        <v>265</v>
      </c>
      <c r="V249" s="133" t="s">
        <v>266</v>
      </c>
    </row>
    <row r="250" spans="1:23" ht="66.75">
      <c r="A250" s="133" t="s">
        <v>313</v>
      </c>
      <c r="B250" s="274" t="s">
        <v>630</v>
      </c>
      <c r="C250" s="133" t="s">
        <v>631</v>
      </c>
      <c r="D250" s="133" t="s">
        <v>632</v>
      </c>
      <c r="E250" s="134" t="s">
        <v>1116</v>
      </c>
      <c r="F250" s="133" t="s">
        <v>1122</v>
      </c>
      <c r="G250" s="133" t="str">
        <f t="shared" si="12"/>
        <v>ovs-lx-vis-01</v>
      </c>
      <c r="H250" s="133" t="s">
        <v>333</v>
      </c>
      <c r="I250" s="133" t="s">
        <v>343</v>
      </c>
      <c r="J250" s="177" t="s">
        <v>635</v>
      </c>
      <c r="K250" s="175" t="s">
        <v>645</v>
      </c>
      <c r="M250" s="175" t="s">
        <v>256</v>
      </c>
      <c r="N250" s="190">
        <f t="shared" si="15"/>
        <v>6000</v>
      </c>
      <c r="O250" s="192">
        <v>500</v>
      </c>
      <c r="P250" s="167" t="s">
        <v>1123</v>
      </c>
      <c r="Q250" s="136" t="s">
        <v>1119</v>
      </c>
      <c r="R250" s="254" t="s">
        <v>1115</v>
      </c>
      <c r="S250" s="173" t="s">
        <v>639</v>
      </c>
      <c r="T250" s="134" t="s">
        <v>640</v>
      </c>
      <c r="U250" s="133" t="s">
        <v>265</v>
      </c>
      <c r="V250" s="133" t="s">
        <v>266</v>
      </c>
    </row>
    <row r="251" spans="1:23" ht="66.75">
      <c r="A251" s="133" t="s">
        <v>313</v>
      </c>
      <c r="B251" s="274" t="s">
        <v>226</v>
      </c>
      <c r="C251" s="133" t="s">
        <v>974</v>
      </c>
      <c r="D251" s="133" t="s">
        <v>1124</v>
      </c>
      <c r="E251" s="134" t="s">
        <v>1125</v>
      </c>
      <c r="F251" s="133" t="s">
        <v>1126</v>
      </c>
      <c r="G251" s="133" t="str">
        <f t="shared" si="12"/>
        <v>ovs-cp-vow-01</v>
      </c>
      <c r="H251" s="133" t="s">
        <v>333</v>
      </c>
      <c r="I251" s="133" t="s">
        <v>309</v>
      </c>
      <c r="J251" s="177" t="s">
        <v>1127</v>
      </c>
      <c r="K251" s="175" t="s">
        <v>1128</v>
      </c>
      <c r="M251" s="175" t="s">
        <v>256</v>
      </c>
      <c r="N251" s="190">
        <f t="shared" si="15"/>
        <v>10824</v>
      </c>
      <c r="O251" s="192">
        <v>902</v>
      </c>
      <c r="P251" s="167" t="s">
        <v>1129</v>
      </c>
      <c r="Q251" s="136" t="s">
        <v>1130</v>
      </c>
      <c r="R251"/>
      <c r="S251" s="173" t="s">
        <v>504</v>
      </c>
      <c r="T251" s="134" t="s">
        <v>501</v>
      </c>
      <c r="U251" s="133" t="s">
        <v>265</v>
      </c>
      <c r="V251" s="133" t="s">
        <v>266</v>
      </c>
    </row>
    <row r="252" spans="1:23" ht="66.75">
      <c r="A252" s="133" t="s">
        <v>313</v>
      </c>
      <c r="B252" s="274" t="s">
        <v>314</v>
      </c>
      <c r="C252" s="133" t="s">
        <v>93</v>
      </c>
      <c r="D252" s="133" t="s">
        <v>1131</v>
      </c>
      <c r="E252" s="134" t="s">
        <v>1132</v>
      </c>
      <c r="F252" s="133" t="s">
        <v>1133</v>
      </c>
      <c r="G252" s="133" t="str">
        <f t="shared" si="12"/>
        <v>ebt-cp-ics-01</v>
      </c>
      <c r="H252" s="133" t="s">
        <v>333</v>
      </c>
      <c r="I252" s="133" t="s">
        <v>309</v>
      </c>
      <c r="J252" s="177" t="s">
        <v>1134</v>
      </c>
      <c r="K252" s="175" t="s">
        <v>1135</v>
      </c>
      <c r="M252" s="175" t="s">
        <v>256</v>
      </c>
      <c r="N252" s="190">
        <f t="shared" si="15"/>
        <v>9072</v>
      </c>
      <c r="O252" s="192">
        <v>756</v>
      </c>
      <c r="Q252" s="136" t="s">
        <v>1136</v>
      </c>
      <c r="R252" s="134" t="s">
        <v>1137</v>
      </c>
      <c r="S252" s="173" t="s">
        <v>378</v>
      </c>
      <c r="T252" s="134" t="s">
        <v>363</v>
      </c>
      <c r="U252" s="133" t="s">
        <v>265</v>
      </c>
      <c r="V252" s="133" t="s">
        <v>266</v>
      </c>
    </row>
    <row r="253" spans="1:23" ht="66.75" customHeight="1">
      <c r="A253" s="133" t="s">
        <v>313</v>
      </c>
      <c r="B253" s="274" t="s">
        <v>314</v>
      </c>
      <c r="C253" s="133" t="s">
        <v>93</v>
      </c>
      <c r="D253" s="133" t="s">
        <v>1131</v>
      </c>
      <c r="E253" s="134" t="s">
        <v>1132</v>
      </c>
      <c r="F253" s="133" t="s">
        <v>1138</v>
      </c>
      <c r="G253" s="133" t="str">
        <f t="shared" si="12"/>
        <v>ebt-cp-ics-01</v>
      </c>
      <c r="H253" s="133" t="s">
        <v>333</v>
      </c>
      <c r="I253" s="133" t="s">
        <v>343</v>
      </c>
      <c r="J253" s="177" t="s">
        <v>1134</v>
      </c>
      <c r="K253" s="175" t="s">
        <v>1135</v>
      </c>
      <c r="M253" s="175" t="s">
        <v>256</v>
      </c>
      <c r="N253" s="190">
        <f t="shared" si="15"/>
        <v>12780</v>
      </c>
      <c r="O253" s="192">
        <v>1065</v>
      </c>
      <c r="Q253" s="136" t="s">
        <v>1136</v>
      </c>
      <c r="R253" s="134" t="s">
        <v>1137</v>
      </c>
      <c r="S253" s="173" t="s">
        <v>378</v>
      </c>
      <c r="T253" s="134" t="s">
        <v>363</v>
      </c>
      <c r="U253" s="133" t="s">
        <v>265</v>
      </c>
      <c r="V253" s="133" t="s">
        <v>266</v>
      </c>
    </row>
    <row r="254" spans="1:23" ht="66.75">
      <c r="A254" s="133" t="s">
        <v>313</v>
      </c>
      <c r="B254" s="274" t="s">
        <v>314</v>
      </c>
      <c r="C254" s="133" t="s">
        <v>93</v>
      </c>
      <c r="D254" s="133" t="s">
        <v>1131</v>
      </c>
      <c r="E254" s="134" t="s">
        <v>1132</v>
      </c>
      <c r="F254" s="133" t="s">
        <v>1139</v>
      </c>
      <c r="G254" s="133" t="str">
        <f t="shared" si="12"/>
        <v>ebt-cp-ics-01</v>
      </c>
      <c r="H254" s="133" t="s">
        <v>333</v>
      </c>
      <c r="I254" s="133" t="s">
        <v>357</v>
      </c>
      <c r="J254" s="177" t="s">
        <v>1134</v>
      </c>
      <c r="K254" s="175" t="s">
        <v>1135</v>
      </c>
      <c r="M254" s="175" t="s">
        <v>256</v>
      </c>
      <c r="N254" s="190">
        <f t="shared" si="15"/>
        <v>12780</v>
      </c>
      <c r="O254" s="192">
        <v>1065</v>
      </c>
      <c r="Q254" s="136" t="s">
        <v>1136</v>
      </c>
      <c r="R254" s="134" t="s">
        <v>1137</v>
      </c>
      <c r="S254" s="173" t="s">
        <v>378</v>
      </c>
      <c r="T254" s="134" t="s">
        <v>363</v>
      </c>
      <c r="U254" s="133" t="s">
        <v>265</v>
      </c>
      <c r="V254" s="133" t="s">
        <v>266</v>
      </c>
    </row>
    <row r="255" spans="1:23" ht="76.5" customHeight="1">
      <c r="A255" s="133" t="s">
        <v>313</v>
      </c>
      <c r="B255" s="274" t="s">
        <v>314</v>
      </c>
      <c r="C255" s="133" t="s">
        <v>427</v>
      </c>
      <c r="D255" s="133" t="s">
        <v>449</v>
      </c>
      <c r="E255" s="134" t="s">
        <v>1077</v>
      </c>
      <c r="F255" s="133" t="s">
        <v>1140</v>
      </c>
      <c r="G255" s="133" t="str">
        <f t="shared" si="12"/>
        <v>com-lx-dab-01</v>
      </c>
      <c r="H255" s="133" t="s">
        <v>333</v>
      </c>
      <c r="I255" s="133" t="s">
        <v>343</v>
      </c>
      <c r="J255" s="224" t="s">
        <v>1079</v>
      </c>
      <c r="K255" s="175" t="s">
        <v>1080</v>
      </c>
      <c r="M255" s="175" t="s">
        <v>256</v>
      </c>
      <c r="N255" s="190">
        <f t="shared" si="15"/>
        <v>10800</v>
      </c>
      <c r="O255" s="192">
        <v>900</v>
      </c>
      <c r="P255" s="167" t="s">
        <v>1141</v>
      </c>
      <c r="Q255" s="136" t="s">
        <v>1142</v>
      </c>
      <c r="R255" s="173" t="s">
        <v>436</v>
      </c>
      <c r="S255" s="173" t="s">
        <v>445</v>
      </c>
      <c r="T255" s="134" t="s">
        <v>363</v>
      </c>
      <c r="U255" s="133" t="s">
        <v>265</v>
      </c>
      <c r="V255" s="133" t="s">
        <v>266</v>
      </c>
    </row>
    <row r="256" spans="1:23" ht="66.75">
      <c r="A256" s="133" t="s">
        <v>313</v>
      </c>
      <c r="B256" s="274" t="s">
        <v>226</v>
      </c>
      <c r="C256" s="133" t="s">
        <v>506</v>
      </c>
      <c r="D256" s="133" t="s">
        <v>507</v>
      </c>
      <c r="E256" s="134" t="s">
        <v>508</v>
      </c>
      <c r="F256" s="133" t="s">
        <v>1143</v>
      </c>
      <c r="G256" s="133" t="str">
        <f t="shared" si="12"/>
        <v>gai-cp-isd-01</v>
      </c>
      <c r="H256" s="133" t="s">
        <v>333</v>
      </c>
      <c r="I256" s="133" t="s">
        <v>357</v>
      </c>
      <c r="J256" s="177" t="s">
        <v>510</v>
      </c>
      <c r="K256" s="175" t="s">
        <v>511</v>
      </c>
      <c r="L256" s="175" t="s">
        <v>512</v>
      </c>
      <c r="M256" s="175" t="s">
        <v>338</v>
      </c>
      <c r="N256" s="190">
        <f t="shared" si="15"/>
        <v>10200</v>
      </c>
      <c r="O256" s="190">
        <v>850</v>
      </c>
      <c r="P256" s="169" t="s">
        <v>1144</v>
      </c>
      <c r="Q256" s="136" t="s">
        <v>513</v>
      </c>
      <c r="R256" s="173" t="s">
        <v>1145</v>
      </c>
      <c r="S256" s="173" t="s">
        <v>515</v>
      </c>
      <c r="T256" s="134" t="s">
        <v>501</v>
      </c>
      <c r="U256" s="133" t="s">
        <v>265</v>
      </c>
      <c r="V256" s="133" t="s">
        <v>266</v>
      </c>
    </row>
    <row r="257" spans="1:22" ht="66.75">
      <c r="A257" s="133" t="s">
        <v>313</v>
      </c>
      <c r="B257" s="274" t="s">
        <v>314</v>
      </c>
      <c r="C257" s="133" t="s">
        <v>93</v>
      </c>
      <c r="D257" s="133" t="s">
        <v>369</v>
      </c>
      <c r="E257" s="134" t="s">
        <v>417</v>
      </c>
      <c r="F257" s="133" t="s">
        <v>1146</v>
      </c>
      <c r="G257" s="133" t="str">
        <f t="shared" si="12"/>
        <v>ebt-cp-lbc-02</v>
      </c>
      <c r="H257" s="133" t="s">
        <v>31</v>
      </c>
      <c r="I257" s="133" t="s">
        <v>357</v>
      </c>
      <c r="J257" s="224" t="s">
        <v>1147</v>
      </c>
      <c r="K257" s="175" t="s">
        <v>420</v>
      </c>
      <c r="M257" s="175" t="s">
        <v>256</v>
      </c>
      <c r="N257" s="234">
        <f>O257*12</f>
        <v>60000</v>
      </c>
      <c r="O257" s="234">
        <v>5000</v>
      </c>
      <c r="P257" s="167" t="s">
        <v>1148</v>
      </c>
      <c r="Q257" s="136" t="s">
        <v>1149</v>
      </c>
      <c r="R257" s="134" t="s">
        <v>1035</v>
      </c>
      <c r="S257" s="173" t="s">
        <v>378</v>
      </c>
      <c r="T257" s="134" t="s">
        <v>363</v>
      </c>
      <c r="U257" s="133" t="s">
        <v>265</v>
      </c>
      <c r="V257" s="133" t="s">
        <v>266</v>
      </c>
    </row>
    <row r="258" spans="1:22" ht="66.75">
      <c r="A258" s="133" t="s">
        <v>313</v>
      </c>
      <c r="B258" s="274" t="s">
        <v>630</v>
      </c>
      <c r="C258" s="133" t="s">
        <v>631</v>
      </c>
      <c r="D258" s="133" t="s">
        <v>632</v>
      </c>
      <c r="E258" s="134" t="s">
        <v>1105</v>
      </c>
      <c r="F258" s="133" t="s">
        <v>1150</v>
      </c>
      <c r="G258" s="133" t="str">
        <f>LEFT(F258, 13)</f>
        <v>ovs-lx-vdm-01</v>
      </c>
      <c r="H258" s="133" t="s">
        <v>333</v>
      </c>
      <c r="I258" s="133" t="s">
        <v>343</v>
      </c>
      <c r="J258" s="177" t="s">
        <v>651</v>
      </c>
      <c r="K258" s="175" t="s">
        <v>652</v>
      </c>
      <c r="M258" s="175" t="s">
        <v>256</v>
      </c>
      <c r="N258" s="234">
        <f>O258*12</f>
        <v>7200</v>
      </c>
      <c r="O258" s="192">
        <v>600</v>
      </c>
      <c r="P258" s="242" t="s">
        <v>1151</v>
      </c>
      <c r="Q258" s="136" t="s">
        <v>1107</v>
      </c>
      <c r="R258" s="173" t="s">
        <v>638</v>
      </c>
      <c r="S258" s="173" t="s">
        <v>639</v>
      </c>
      <c r="T258" s="134" t="s">
        <v>640</v>
      </c>
      <c r="U258" s="133" t="s">
        <v>265</v>
      </c>
      <c r="V258" s="133" t="s">
        <v>266</v>
      </c>
    </row>
    <row r="259" spans="1:22" ht="81" customHeight="1">
      <c r="A259" s="133" t="s">
        <v>313</v>
      </c>
      <c r="B259" s="274" t="s">
        <v>226</v>
      </c>
      <c r="C259" s="133" t="s">
        <v>539</v>
      </c>
      <c r="D259" s="133" t="s">
        <v>540</v>
      </c>
      <c r="E259" s="134" t="s">
        <v>1152</v>
      </c>
      <c r="F259" s="133" t="s">
        <v>1153</v>
      </c>
      <c r="G259" s="133" t="str">
        <f t="shared" si="12"/>
        <v>otr-cs-sre-01</v>
      </c>
      <c r="H259" s="133" t="s">
        <v>333</v>
      </c>
      <c r="I259" s="133" t="s">
        <v>309</v>
      </c>
      <c r="J259" s="224" t="s">
        <v>1154</v>
      </c>
      <c r="K259" s="175" t="s">
        <v>351</v>
      </c>
      <c r="M259" s="175" t="s">
        <v>256</v>
      </c>
      <c r="N259" s="234">
        <f t="shared" ref="N259:N265" si="16">O259*12</f>
        <v>6000</v>
      </c>
      <c r="O259" s="192">
        <v>500</v>
      </c>
      <c r="P259" s="167" t="s">
        <v>1155</v>
      </c>
      <c r="Q259" s="136" t="s">
        <v>1156</v>
      </c>
      <c r="R259" s="134" t="s">
        <v>546</v>
      </c>
      <c r="S259" s="173" t="s">
        <v>547</v>
      </c>
      <c r="T259" s="134" t="s">
        <v>528</v>
      </c>
      <c r="U259" s="133" t="s">
        <v>265</v>
      </c>
      <c r="V259" s="133" t="s">
        <v>266</v>
      </c>
    </row>
    <row r="260" spans="1:22" ht="66.75">
      <c r="A260" s="133" t="s">
        <v>313</v>
      </c>
      <c r="B260" s="274" t="s">
        <v>226</v>
      </c>
      <c r="C260" s="133" t="s">
        <v>539</v>
      </c>
      <c r="D260" s="133" t="s">
        <v>540</v>
      </c>
      <c r="E260" s="134" t="s">
        <v>1152</v>
      </c>
      <c r="F260" s="133" t="s">
        <v>1157</v>
      </c>
      <c r="G260" s="133" t="str">
        <f t="shared" si="12"/>
        <v>otr-cs-sre-02</v>
      </c>
      <c r="H260" s="133" t="s">
        <v>333</v>
      </c>
      <c r="I260" s="133" t="s">
        <v>309</v>
      </c>
      <c r="J260" s="224" t="s">
        <v>1154</v>
      </c>
      <c r="K260" s="175" t="s">
        <v>351</v>
      </c>
      <c r="M260" s="175" t="s">
        <v>256</v>
      </c>
      <c r="N260" s="234">
        <f t="shared" si="16"/>
        <v>6000</v>
      </c>
      <c r="O260" s="192">
        <v>500</v>
      </c>
      <c r="P260" s="167" t="s">
        <v>1155</v>
      </c>
      <c r="Q260" s="136" t="s">
        <v>1156</v>
      </c>
      <c r="R260" s="134" t="s">
        <v>546</v>
      </c>
      <c r="S260" s="173" t="s">
        <v>547</v>
      </c>
      <c r="T260" s="134" t="s">
        <v>528</v>
      </c>
      <c r="U260" s="133" t="s">
        <v>265</v>
      </c>
      <c r="V260" s="133" t="s">
        <v>266</v>
      </c>
    </row>
    <row r="261" spans="1:22" ht="16.5">
      <c r="A261" s="133" t="s">
        <v>261</v>
      </c>
      <c r="B261" s="274" t="s">
        <v>314</v>
      </c>
      <c r="C261" s="133" t="s">
        <v>427</v>
      </c>
      <c r="D261" s="133" t="s">
        <v>449</v>
      </c>
      <c r="E261" s="134" t="s">
        <v>1158</v>
      </c>
      <c r="F261" s="133" t="s">
        <v>1159</v>
      </c>
      <c r="G261" s="133" t="s">
        <v>1159</v>
      </c>
      <c r="H261" s="133" t="s">
        <v>333</v>
      </c>
      <c r="I261" s="133" t="s">
        <v>334</v>
      </c>
      <c r="J261" s="224" t="s">
        <v>1160</v>
      </c>
      <c r="K261" s="175" t="s">
        <v>1161</v>
      </c>
      <c r="L261" s="175" t="s">
        <v>351</v>
      </c>
      <c r="M261" s="175" t="s">
        <v>256</v>
      </c>
      <c r="N261" s="190">
        <v>150</v>
      </c>
      <c r="O261" s="190">
        <v>150</v>
      </c>
      <c r="P261" s="167" t="s">
        <v>1162</v>
      </c>
      <c r="R261" s="153"/>
      <c r="S261" s="249"/>
      <c r="T261" s="134" t="s">
        <v>363</v>
      </c>
      <c r="U261" s="133" t="s">
        <v>265</v>
      </c>
      <c r="V261" s="133" t="s">
        <v>266</v>
      </c>
    </row>
    <row r="262" spans="1:22" ht="66.75">
      <c r="A262" s="133" t="s">
        <v>313</v>
      </c>
      <c r="B262" s="274" t="s">
        <v>314</v>
      </c>
      <c r="C262" s="134" t="s">
        <v>93</v>
      </c>
      <c r="D262" s="133" t="s">
        <v>369</v>
      </c>
      <c r="E262" s="134" t="s">
        <v>1163</v>
      </c>
      <c r="F262" s="133" t="s">
        <v>1164</v>
      </c>
      <c r="G262" s="133" t="str">
        <f t="shared" si="12"/>
        <v>svc-cp-aem-01</v>
      </c>
      <c r="H262" s="133" t="s">
        <v>333</v>
      </c>
      <c r="I262" s="133" t="s">
        <v>334</v>
      </c>
      <c r="J262" s="224" t="s">
        <v>1165</v>
      </c>
      <c r="K262" s="175" t="s">
        <v>1166</v>
      </c>
      <c r="L262" s="175" t="s">
        <v>553</v>
      </c>
      <c r="M262" s="175" t="s">
        <v>256</v>
      </c>
      <c r="N262" s="234">
        <f t="shared" si="16"/>
        <v>6108</v>
      </c>
      <c r="O262" s="192">
        <v>509</v>
      </c>
      <c r="P262" s="167" t="s">
        <v>1167</v>
      </c>
      <c r="Q262" s="134" t="s">
        <v>1136</v>
      </c>
      <c r="R262" s="134" t="s">
        <v>1137</v>
      </c>
      <c r="S262" s="173" t="s">
        <v>378</v>
      </c>
      <c r="T262" s="134" t="s">
        <v>363</v>
      </c>
      <c r="U262" s="133" t="s">
        <v>265</v>
      </c>
      <c r="V262" s="133" t="s">
        <v>266</v>
      </c>
    </row>
    <row r="263" spans="1:22" ht="66.75">
      <c r="A263" s="133" t="s">
        <v>313</v>
      </c>
      <c r="B263" s="274" t="s">
        <v>314</v>
      </c>
      <c r="C263" s="133" t="s">
        <v>315</v>
      </c>
      <c r="D263" s="133" t="s">
        <v>316</v>
      </c>
      <c r="E263" s="134" t="s">
        <v>1042</v>
      </c>
      <c r="F263" s="133" t="s">
        <v>1168</v>
      </c>
      <c r="G263" s="133" t="s">
        <v>1044</v>
      </c>
      <c r="H263" s="133" t="s">
        <v>333</v>
      </c>
      <c r="I263" s="133" t="s">
        <v>343</v>
      </c>
      <c r="J263" s="177" t="s">
        <v>1045</v>
      </c>
      <c r="K263" s="175" t="s">
        <v>1046</v>
      </c>
      <c r="L263" s="175" t="s">
        <v>1169</v>
      </c>
      <c r="M263" s="175" t="s">
        <v>338</v>
      </c>
      <c r="N263" s="145">
        <f t="shared" si="16"/>
        <v>7200</v>
      </c>
      <c r="O263" s="192">
        <v>600</v>
      </c>
      <c r="P263" s="167" t="s">
        <v>1170</v>
      </c>
      <c r="Q263" s="134" t="s">
        <v>1048</v>
      </c>
      <c r="R263" s="173" t="s">
        <v>1171</v>
      </c>
      <c r="S263" s="173" t="s">
        <v>325</v>
      </c>
      <c r="T263" s="134" t="s">
        <v>325</v>
      </c>
      <c r="U263" s="133" t="s">
        <v>265</v>
      </c>
      <c r="V263" s="133" t="s">
        <v>266</v>
      </c>
    </row>
    <row r="264" spans="1:22" ht="83.25">
      <c r="A264" s="133" t="s">
        <v>313</v>
      </c>
      <c r="B264" s="274" t="s">
        <v>314</v>
      </c>
      <c r="C264" s="133" t="s">
        <v>427</v>
      </c>
      <c r="D264" s="133" t="s">
        <v>449</v>
      </c>
      <c r="E264" s="134" t="s">
        <v>1077</v>
      </c>
      <c r="F264" s="133" t="s">
        <v>1172</v>
      </c>
      <c r="G264" s="133" t="str">
        <f t="shared" ref="G264:G267" si="17">LEFT(F264, 13)</f>
        <v>com-lx-dab-01</v>
      </c>
      <c r="H264" s="133" t="s">
        <v>333</v>
      </c>
      <c r="I264" s="133" t="s">
        <v>357</v>
      </c>
      <c r="J264" s="224" t="s">
        <v>1079</v>
      </c>
      <c r="K264" s="175" t="s">
        <v>1080</v>
      </c>
      <c r="M264" s="175" t="s">
        <v>256</v>
      </c>
      <c r="N264" s="190">
        <f t="shared" si="16"/>
        <v>10800</v>
      </c>
      <c r="O264" s="192">
        <v>900</v>
      </c>
      <c r="P264" s="167" t="s">
        <v>1173</v>
      </c>
      <c r="Q264" s="136" t="s">
        <v>1142</v>
      </c>
      <c r="R264" s="173" t="s">
        <v>436</v>
      </c>
      <c r="S264" s="173" t="s">
        <v>445</v>
      </c>
      <c r="T264" s="134" t="s">
        <v>363</v>
      </c>
      <c r="U264" s="133" t="s">
        <v>265</v>
      </c>
      <c r="V264" s="133" t="s">
        <v>266</v>
      </c>
    </row>
    <row r="265" spans="1:22" ht="66.75">
      <c r="A265" s="133" t="s">
        <v>313</v>
      </c>
      <c r="B265" s="274" t="s">
        <v>226</v>
      </c>
      <c r="C265" s="133" t="s">
        <v>974</v>
      </c>
      <c r="D265" s="133" t="s">
        <v>1124</v>
      </c>
      <c r="E265" s="134" t="s">
        <v>1125</v>
      </c>
      <c r="F265" s="133" t="s">
        <v>1174</v>
      </c>
      <c r="G265" s="133" t="str">
        <f t="shared" si="17"/>
        <v>ovs-cp-vow-01</v>
      </c>
      <c r="H265" s="133" t="s">
        <v>333</v>
      </c>
      <c r="I265" s="133" t="s">
        <v>343</v>
      </c>
      <c r="J265" s="177" t="s">
        <v>1127</v>
      </c>
      <c r="K265" s="175" t="s">
        <v>1128</v>
      </c>
      <c r="M265" s="175" t="s">
        <v>256</v>
      </c>
      <c r="N265" s="190">
        <f t="shared" si="16"/>
        <v>13643.880000000001</v>
      </c>
      <c r="O265" s="192">
        <v>1136.99</v>
      </c>
      <c r="P265" s="167" t="s">
        <v>1175</v>
      </c>
      <c r="Q265" s="136" t="s">
        <v>1130</v>
      </c>
      <c r="R265" s="173" t="s">
        <v>1176</v>
      </c>
      <c r="S265" s="173" t="s">
        <v>504</v>
      </c>
      <c r="T265" s="134" t="s">
        <v>501</v>
      </c>
      <c r="U265" s="133" t="s">
        <v>265</v>
      </c>
      <c r="V265" s="133" t="s">
        <v>266</v>
      </c>
    </row>
    <row r="266" spans="1:22" ht="83.25">
      <c r="A266" s="133" t="s">
        <v>313</v>
      </c>
      <c r="B266" s="274" t="s">
        <v>314</v>
      </c>
      <c r="C266" s="133" t="s">
        <v>93</v>
      </c>
      <c r="D266" s="133" t="s">
        <v>1023</v>
      </c>
      <c r="E266" s="134" t="s">
        <v>1024</v>
      </c>
      <c r="F266" s="133" t="s">
        <v>1177</v>
      </c>
      <c r="G266" s="133" t="str">
        <f t="shared" si="17"/>
        <v>mid-cp-gai-03</v>
      </c>
      <c r="H266" s="133" t="s">
        <v>333</v>
      </c>
      <c r="I266" s="133" t="s">
        <v>357</v>
      </c>
      <c r="J266" s="177" t="s">
        <v>1027</v>
      </c>
      <c r="K266" s="175" t="s">
        <v>1028</v>
      </c>
      <c r="M266" s="175" t="s">
        <v>256</v>
      </c>
      <c r="N266" s="145">
        <f>O266*12</f>
        <v>3780</v>
      </c>
      <c r="O266" s="192">
        <v>315</v>
      </c>
      <c r="P266" s="167" t="s">
        <v>1178</v>
      </c>
      <c r="Q266" s="134" t="s">
        <v>1030</v>
      </c>
      <c r="R266" s="134" t="s">
        <v>1087</v>
      </c>
      <c r="S266" s="173" t="s">
        <v>378</v>
      </c>
      <c r="T266" s="134" t="s">
        <v>363</v>
      </c>
      <c r="U266" s="133" t="s">
        <v>265</v>
      </c>
      <c r="V266" s="133" t="s">
        <v>266</v>
      </c>
    </row>
    <row r="267" spans="1:22" ht="66.75">
      <c r="A267" s="133" t="s">
        <v>313</v>
      </c>
      <c r="B267" s="274" t="s">
        <v>226</v>
      </c>
      <c r="C267" s="134" t="s">
        <v>303</v>
      </c>
      <c r="D267" s="133" t="s">
        <v>304</v>
      </c>
      <c r="E267" s="134" t="s">
        <v>978</v>
      </c>
      <c r="F267" s="133" t="s">
        <v>1179</v>
      </c>
      <c r="G267" s="133" t="str">
        <f t="shared" si="17"/>
        <v>otr-lx-fid-02</v>
      </c>
      <c r="H267" s="133" t="s">
        <v>333</v>
      </c>
      <c r="I267" s="133" t="s">
        <v>357</v>
      </c>
      <c r="J267" s="177" t="s">
        <v>980</v>
      </c>
      <c r="K267" s="175" t="s">
        <v>981</v>
      </c>
      <c r="L267" s="175" t="s">
        <v>788</v>
      </c>
      <c r="M267" s="175" t="s">
        <v>256</v>
      </c>
      <c r="N267" s="145">
        <f t="shared" ref="N267:N270" si="18">O267*12</f>
        <v>11840.400000000001</v>
      </c>
      <c r="O267" s="190">
        <v>986.7</v>
      </c>
      <c r="P267" s="153"/>
      <c r="Q267" s="136" t="s">
        <v>982</v>
      </c>
      <c r="R267" s="173" t="s">
        <v>1180</v>
      </c>
      <c r="S267" s="173" t="s">
        <v>960</v>
      </c>
      <c r="T267" s="134" t="s">
        <v>311</v>
      </c>
      <c r="U267" s="133" t="s">
        <v>265</v>
      </c>
      <c r="V267" s="133" t="s">
        <v>266</v>
      </c>
    </row>
    <row r="268" spans="1:22" ht="15.75" customHeight="1">
      <c r="A268" s="133" t="s">
        <v>261</v>
      </c>
      <c r="B268" s="274" t="s">
        <v>314</v>
      </c>
      <c r="C268" s="133" t="s">
        <v>427</v>
      </c>
      <c r="D268" s="133" t="s">
        <v>449</v>
      </c>
      <c r="E268" s="134" t="s">
        <v>1181</v>
      </c>
      <c r="F268" s="133" t="s">
        <v>300</v>
      </c>
      <c r="G268" s="133" t="s">
        <v>1182</v>
      </c>
      <c r="H268" s="133" t="s">
        <v>31</v>
      </c>
      <c r="I268" s="133" t="s">
        <v>309</v>
      </c>
      <c r="J268" s="224" t="s">
        <v>1183</v>
      </c>
      <c r="K268" s="175" t="s">
        <v>1184</v>
      </c>
      <c r="L268" s="175" t="s">
        <v>351</v>
      </c>
      <c r="M268" s="175" t="s">
        <v>310</v>
      </c>
      <c r="N268" s="145">
        <f t="shared" si="18"/>
        <v>11840.400000000001</v>
      </c>
      <c r="O268" s="190">
        <v>986.7</v>
      </c>
      <c r="T268" s="134" t="s">
        <v>363</v>
      </c>
      <c r="U268" s="133" t="s">
        <v>265</v>
      </c>
      <c r="V268" s="133" t="s">
        <v>258</v>
      </c>
    </row>
    <row r="269" spans="1:22" ht="15.75" customHeight="1">
      <c r="A269" s="133" t="s">
        <v>261</v>
      </c>
      <c r="B269" s="274" t="s">
        <v>314</v>
      </c>
      <c r="C269" s="133" t="s">
        <v>427</v>
      </c>
      <c r="D269" s="133" t="s">
        <v>449</v>
      </c>
      <c r="E269" s="134" t="s">
        <v>1185</v>
      </c>
      <c r="F269" s="133" t="s">
        <v>1186</v>
      </c>
      <c r="G269" s="133" t="s">
        <v>1182</v>
      </c>
      <c r="H269" s="133" t="s">
        <v>1187</v>
      </c>
      <c r="I269" s="133" t="s">
        <v>309</v>
      </c>
      <c r="J269" s="224" t="s">
        <v>1188</v>
      </c>
      <c r="K269" s="175" t="s">
        <v>1189</v>
      </c>
      <c r="M269" s="175" t="s">
        <v>256</v>
      </c>
      <c r="N269" s="145">
        <f t="shared" si="18"/>
        <v>1800</v>
      </c>
      <c r="O269" s="190">
        <v>150</v>
      </c>
      <c r="P269" s="167" t="s">
        <v>1190</v>
      </c>
      <c r="T269" s="134" t="s">
        <v>363</v>
      </c>
      <c r="U269" s="133" t="s">
        <v>265</v>
      </c>
      <c r="V269" s="133" t="s">
        <v>266</v>
      </c>
    </row>
    <row r="270" spans="1:22" ht="66.75">
      <c r="A270" s="133" t="s">
        <v>313</v>
      </c>
      <c r="B270" s="274" t="s">
        <v>226</v>
      </c>
      <c r="C270" s="133" t="s">
        <v>506</v>
      </c>
      <c r="D270" s="133" t="s">
        <v>1191</v>
      </c>
      <c r="E270" s="134" t="s">
        <v>1192</v>
      </c>
      <c r="F270" s="133" t="s">
        <v>1193</v>
      </c>
      <c r="G270" s="133" t="str">
        <f t="shared" ref="G270" si="19">LEFT(F270, 13)</f>
        <v>svc-lx-iqi-01</v>
      </c>
      <c r="H270" s="133" t="s">
        <v>333</v>
      </c>
      <c r="I270" s="133" t="s">
        <v>309</v>
      </c>
      <c r="J270" s="224" t="s">
        <v>1194</v>
      </c>
      <c r="K270" s="175" t="s">
        <v>1195</v>
      </c>
      <c r="M270" s="175" t="s">
        <v>310</v>
      </c>
      <c r="N270" s="145">
        <f t="shared" si="18"/>
        <v>19135.908000000003</v>
      </c>
      <c r="O270" s="190">
        <v>1594.6590000000001</v>
      </c>
      <c r="P270" s="167" t="s">
        <v>1196</v>
      </c>
      <c r="Q270" s="136" t="s">
        <v>1197</v>
      </c>
      <c r="R270" s="173" t="s">
        <v>1198</v>
      </c>
      <c r="S270" s="173" t="s">
        <v>515</v>
      </c>
      <c r="T270" s="134" t="s">
        <v>501</v>
      </c>
      <c r="U270" s="133" t="s">
        <v>265</v>
      </c>
      <c r="V270" s="133" t="s">
        <v>266</v>
      </c>
    </row>
  </sheetData>
  <autoFilter ref="A3:W270" xr:uid="{A7468DFE-FAF9-47D2-9798-CB0C991B681B}"/>
  <phoneticPr fontId="50" type="noConversion"/>
  <hyperlinks>
    <hyperlink ref="R212" r:id="rId1" xr:uid="{07E4476C-EF03-4F00-B0A4-FFD0FAFEE4C1}"/>
    <hyperlink ref="R185" r:id="rId2" xr:uid="{42240388-D9E0-4A80-B790-7ADF570A7217}"/>
    <hyperlink ref="R68:R69" r:id="rId3" display="EPOSTeam@cathaybk.com.tw" xr:uid="{4BB1D9FF-EAC7-47F4-807D-800AA6C97330}"/>
    <hyperlink ref="R197" r:id="rId4" xr:uid="{08D29361-E1C6-4E74-ACF2-C1D6A4ACC1AA}"/>
    <hyperlink ref="R196" r:id="rId5" xr:uid="{379696A1-6402-4C6F-A02C-442946E5C7A6}"/>
    <hyperlink ref="R184" r:id="rId6" xr:uid="{E950C62D-0605-4A70-B9D0-4A3E207A57B2}"/>
    <hyperlink ref="R183" r:id="rId7" xr:uid="{4AC7A7C9-5FD6-4366-ADCF-9571EFB0DD29}"/>
    <hyperlink ref="R182" r:id="rId8" xr:uid="{C9820A00-6013-4A2D-83AD-A9E4466B5DCB}"/>
    <hyperlink ref="R191" r:id="rId9" xr:uid="{8EB0C365-90E6-4B22-9B5B-64B9020F7CE4}"/>
    <hyperlink ref="R190" r:id="rId10" xr:uid="{646FA13A-5BBE-4F79-8FF5-1EE510DA9A17}"/>
    <hyperlink ref="R192" r:id="rId11" xr:uid="{E7CACA43-3A52-4782-BBEF-B3C41F5DEBDD}"/>
    <hyperlink ref="R195" r:id="rId12" xr:uid="{308959EF-36E6-4344-A9E4-305CB96A1D68}"/>
    <hyperlink ref="R187" r:id="rId13" xr:uid="{BCD32D00-9994-42F9-888F-E4AC0CD0369A}"/>
    <hyperlink ref="R175" r:id="rId14" display="ED75@cathaybk.com.tw_x000a_CMPT@cathaybk.com.tw" xr:uid="{0FFB9BFA-6509-42B5-9798-0B28422B61A8}"/>
    <hyperlink ref="R176" r:id="rId15" display="ED75@cathaybk.com.tw_x000a_CMPT@cathaybk.com.tw" xr:uid="{5568C1DC-307A-48DC-836D-EE20AABDFAE6}"/>
    <hyperlink ref="R177" r:id="rId16" xr:uid="{A3DC3406-289C-4C6A-9D5A-55836A62B1D6}"/>
    <hyperlink ref="R146" r:id="rId17" xr:uid="{999D7E28-BDFF-4380-8B7D-EB78813C8AB2}"/>
    <hyperlink ref="R149" r:id="rId18" xr:uid="{A67623A5-A271-49F0-A9F5-3F4C74CD607B}"/>
    <hyperlink ref="R148" r:id="rId19" xr:uid="{2602BD73-2797-49BA-90B6-0EE71DC5A54F}"/>
    <hyperlink ref="R147" r:id="rId20" xr:uid="{BA6D4EB1-99AC-4452-B4E1-9FFC867F1008}"/>
    <hyperlink ref="R150" r:id="rId21" display="NT49028@cathaybk.com.tw;NT95756@cathaybk.com.tw;NT92836@cathaybk.com.tw;NT92015@cathaybk.com.tw;veison.wang@cathaybk.com.tw;NT95867@cathaybk.com.tw" xr:uid="{8C4122EE-CBA1-469E-A198-AF2E61D0987F}"/>
    <hyperlink ref="R143" r:id="rId22" xr:uid="{F5B562B5-3310-448F-BC88-673735F8B40B}"/>
    <hyperlink ref="R156" r:id="rId23" xr:uid="{D2B8F4E3-826F-445C-AB9B-E83DAB19C76B}"/>
    <hyperlink ref="R138" r:id="rId24" xr:uid="{C0D2E2A2-989C-4BE3-8C46-E7775468E407}"/>
    <hyperlink ref="R137" r:id="rId25" xr:uid="{A2ED891F-1E7A-4A1D-8C8C-4CC20F7AEBA0}"/>
    <hyperlink ref="R136" r:id="rId26" xr:uid="{A933A714-01BE-41F3-8C79-91EB12F6EE89}"/>
    <hyperlink ref="R141" r:id="rId27" display="NT96520@cathaybk.com.tw;NT95733@cathaybk.com.tw" xr:uid="{403AAFF9-1158-4E92-9E51-5820A3FC467B}"/>
    <hyperlink ref="R140" r:id="rId28" display="NT96520@cathaybk.com.tw;NT95733@cathaybk.com.tw" xr:uid="{238CDCEF-9DDE-4879-B5BF-3BE620338508}"/>
    <hyperlink ref="R139" r:id="rId29" display="NT96520@cathaybk.com.tw;NT95733@cathaybk.com.tw" xr:uid="{9EBDEDC2-3EFE-4959-BE63-01C21B562592}"/>
    <hyperlink ref="R94" r:id="rId30" xr:uid="{744CF016-CD87-4E08-9F97-36EBE83AC752}"/>
    <hyperlink ref="R73" r:id="rId31" xr:uid="{687BAD6C-332A-463D-B409-4C862B5D5D02}"/>
    <hyperlink ref="R72" r:id="rId32" xr:uid="{C34851B7-40BC-4B6D-9535-EEEE568E8D3B}"/>
    <hyperlink ref="R71" r:id="rId33" xr:uid="{99D08404-EC5F-4537-BE7D-8A16FE117921}"/>
    <hyperlink ref="R70" r:id="rId34" xr:uid="{FD5E2D1D-EBC6-4B4C-9925-96BCF281B3BC}"/>
    <hyperlink ref="R80" r:id="rId35" display="dgt_netap@cathaybk.com.tw;dgt_bop_calandar@cathaybk.com.tw" xr:uid="{0E11A5DA-3F60-40DD-9463-5867C38C83D2}"/>
    <hyperlink ref="R81" r:id="rId36" xr:uid="{8C199E86-5E82-4D40-9C2F-37D65EDA1207}"/>
    <hyperlink ref="R79" r:id="rId37" display="dgt_netap@cathaybk.com.tw;dgt_bop_calandar@cathaybk.com.tw" xr:uid="{BCA3C173-0FF4-448C-B210-D1EF7ADFECF4}"/>
    <hyperlink ref="R78" r:id="rId38" display="dgt_netap@cathaybk.com.tw;dgt_bop_calandar@cathaybk.com.tw" xr:uid="{7CA6C09C-A2D9-4BE3-A0F8-414F35B47C3E}"/>
    <hyperlink ref="R54" r:id="rId39" display="jessie.lin@cathaybk.com.tw, nt91447@cathaybk.com.tw, nt90999@cathaybk.com.tw, nt92861@cathaybk.com.tw" xr:uid="{10247E41-7CAD-449E-A865-BA69E294213F}"/>
    <hyperlink ref="R56" r:id="rId40" xr:uid="{7C6EB099-3785-4588-A25D-A740E910C1AC}"/>
    <hyperlink ref="R55" r:id="rId41" xr:uid="{341A7E85-89F9-4A99-AFDF-1D614DEB972D}"/>
    <hyperlink ref="R50" r:id="rId42" xr:uid="{1672C58E-B7B0-4AD3-8144-20F0DF564F13}"/>
    <hyperlink ref="R49" r:id="rId43" xr:uid="{428FFD04-FC68-4D49-8156-0E5685CFDA27}"/>
    <hyperlink ref="R48" r:id="rId44" xr:uid="{AE904AC9-8AA8-4ED4-8441-AB39A36403E2}"/>
    <hyperlink ref="R85" r:id="rId45" xr:uid="{386A6597-6130-412B-AF13-6CB6FE4881FA}"/>
    <hyperlink ref="R84" r:id="rId46" xr:uid="{2AA1DBF2-FB96-439C-A114-59EF39AAEB78}"/>
    <hyperlink ref="R87" r:id="rId47" xr:uid="{BECB594B-203D-4B92-B087-03A40C2E6D23}"/>
    <hyperlink ref="R88" r:id="rId48" xr:uid="{60DB221E-AF8E-4A59-90F7-87939ED5BCF9}"/>
    <hyperlink ref="R151" r:id="rId49" display="NT49028@cathaybk.com.tw;NT95756@cathaybk.com.tw;NT92836@cathaybk.com.tw;NT92015@cathaybk.com.tw;veison.wang@cathaybk.com.tw;NT95867@cathaybk.com.tw" xr:uid="{68006DC5-0282-4620-B198-EA2F9A6AF820}"/>
    <hyperlink ref="R152" r:id="rId50" display="NT49028@cathaybk.com.tw;NT95756@cathaybk.com.tw;NT92836@cathaybk.com.tw;NT92015@cathaybk.com.tw;veison.wang@cathaybk.com.tw;NT95867@cathaybk.com.tw" xr:uid="{B5925FAC-26E4-48D5-9EA1-73886B94F938}"/>
    <hyperlink ref="R171" r:id="rId51" xr:uid="{3FAF0F0F-D8E8-4135-A7CB-A1CA441CDFD7}"/>
    <hyperlink ref="R69" r:id="rId52" xr:uid="{62E7915F-32E8-4273-A5BE-E895B44871A5}"/>
    <hyperlink ref="R216" r:id="rId53" xr:uid="{1B4EED23-BFE0-4529-B65B-561F2D41036D}"/>
    <hyperlink ref="R200" r:id="rId54" display="IssueTeam1@cathaybk.com.tw" xr:uid="{32454C7C-1975-42F3-BE1B-3607411D1780}"/>
    <hyperlink ref="R181" r:id="rId55" xr:uid="{2071FD35-1E2E-4319-B066-C11C0981752F}"/>
    <hyperlink ref="R217" r:id="rId56" xr:uid="{25CB529F-1D2A-4493-84D1-E60E9A9B7281}"/>
    <hyperlink ref="R225" r:id="rId57" display="EPOSTeam@cathaybk.com.tw" xr:uid="{35F02204-DD08-42D8-8796-A9B936127F46}"/>
    <hyperlink ref="R225" r:id="rId58" xr:uid="{B0B8664E-45FB-4249-A052-2FA129F7A51A}"/>
    <hyperlink ref="R226" r:id="rId59" xr:uid="{F6EAAEA6-28D1-4D43-9AD5-6C5ACDDF2D03}"/>
    <hyperlink ref="R235" r:id="rId60" display="CMPT@cathaybk.com.twCMPT@cathaybk.com.tw" xr:uid="{6950D8B7-A623-440A-90BD-F299ED06F18E}"/>
    <hyperlink ref="R142" r:id="rId61" xr:uid="{A146B2A3-5C02-4DC8-913F-1179730D4C19}"/>
    <hyperlink ref="R145" r:id="rId62" xr:uid="{5F01D1B1-F1AF-462A-8564-B3E837DC64A7}"/>
    <hyperlink ref="R144" r:id="rId63" xr:uid="{2AF9234C-DFE3-4956-9A9E-B65BB95E94F0}"/>
    <hyperlink ref="R75" r:id="rId64" xr:uid="{12CA646E-B975-46E5-9258-1C489FE1AB54}"/>
    <hyperlink ref="R74" r:id="rId65" xr:uid="{3D81E456-822E-4B07-B53F-B359F5ECC909}"/>
    <hyperlink ref="R241" r:id="rId66" display="GAIA@cathaybk.com.tw_x000a_" xr:uid="{C8288232-3370-485C-8218-DA41FE18F999}"/>
    <hyperlink ref="R242" r:id="rId67" display="GAIA@cathaybk.com.tw_x000a_" xr:uid="{2D687B55-820F-42A3-A824-7FE9494721FE}"/>
    <hyperlink ref="R256" r:id="rId68" display="GAICPISD_ADM@cathaybk.com.tw" xr:uid="{AC28F73E-08BE-4A05-99CE-D54DE2C5EA13}"/>
    <hyperlink ref="R51" r:id="rId69" xr:uid="{8BC147B1-6966-4A84-A078-EBF253DF1BFE}"/>
    <hyperlink ref="R227" r:id="rId70" xr:uid="{A217B2FB-6E99-4C6E-A1A9-6DE91A59D99E}"/>
    <hyperlink ref="R228" r:id="rId71" xr:uid="{F6DF7242-5AE7-4519-94B1-1D669F86E6CB}"/>
    <hyperlink ref="R193" r:id="rId72" xr:uid="{02B5067D-34BD-4F8C-A314-EF39042E8BC2}"/>
    <hyperlink ref="R194" r:id="rId73" xr:uid="{AF30B4E4-2C13-4DE8-8D9B-1BEB130C26CB}"/>
    <hyperlink ref="R258" r:id="rId74" xr:uid="{B5751379-8FC3-4AA9-A2DB-F5E7BAADD88B}"/>
    <hyperlink ref="R232" r:id="rId75" display="GAIA@cathaybk.com.tw_x000a_" xr:uid="{EED84700-4DB1-4387-B342-CB252C984643}"/>
    <hyperlink ref="R231" r:id="rId76" display="ops-dev@cathaybk.com.tw" xr:uid="{B61817FF-0CC3-4C95-B3D9-CE1E1C3F735C}"/>
    <hyperlink ref="R157" r:id="rId77" xr:uid="{7FA448FD-C3AD-4078-93FB-9ECCB218DEFE}"/>
    <hyperlink ref="R158" r:id="rId78" xr:uid="{5BE04FB5-A4F5-4036-AFC1-7D0BCA2DABDC}"/>
    <hyperlink ref="R263" r:id="rId79" display="branch0009607@cathaybk.com.tw" xr:uid="{0C833049-1A1D-4601-81D8-F0F4E289735B}"/>
    <hyperlink ref="R265" r:id="rId80" xr:uid="{7126E51A-149C-4B4A-A133-DE952C822D15}"/>
    <hyperlink ref="R267" r:id="rId81" display="ops-dev@cathaybk.com.tw" xr:uid="{A641A16F-F577-44DD-AE19-98089875801A}"/>
    <hyperlink ref="R153:R155" r:id="rId82" display="ovslxvndataop@cathaybk.com.tw" xr:uid="{09521A3A-79AD-48BD-A077-4125D3186883}"/>
    <hyperlink ref="R52" r:id="rId83" xr:uid="{227F508E-33E6-4348-B3C0-2C2C10659666}"/>
    <hyperlink ref="S55" r:id="rId84" xr:uid="{0F468932-6ABB-41C6-885D-5D3D62411F1E}"/>
    <hyperlink ref="S56" r:id="rId85" xr:uid="{6A092679-5E64-443E-8E79-1B2FCCA2FF4A}"/>
    <hyperlink ref="S54" r:id="rId86" xr:uid="{F48C69B9-05DD-4642-B9E6-B27A8BDB2B9D}"/>
    <hyperlink ref="S178" r:id="rId87" xr:uid="{41555585-CD5D-4694-AEAC-7936A218325D}"/>
    <hyperlink ref="S180" r:id="rId88" xr:uid="{4671E348-FC97-4D7F-81B3-2553D1F6B924}"/>
    <hyperlink ref="S188" r:id="rId89" xr:uid="{C3EC2DCA-8595-4EEF-A5EF-6C75D3F484C3}"/>
    <hyperlink ref="S189" r:id="rId90" xr:uid="{72969030-817C-498B-AAB9-657F23F36EC4}"/>
    <hyperlink ref="S195" r:id="rId91" xr:uid="{0E6A7984-4EC5-410F-95AE-19AF9A5A3E7C}"/>
    <hyperlink ref="S245" r:id="rId92" xr:uid="{0EE873EB-2641-4292-BFDE-F9C90AB05A56}"/>
    <hyperlink ref="S136" r:id="rId93" xr:uid="{67D674D9-C059-494B-8FDB-959FB009FEAD}"/>
    <hyperlink ref="S137:S152" r:id="rId94" display="NT82267@cathaybk.com.tw" xr:uid="{3C084EB1-098A-4AD7-BF81-EF40EFC57D9B}"/>
    <hyperlink ref="R57" r:id="rId95" xr:uid="{AB6C903F-CF01-41DB-8E7C-672EFA64B8E6}"/>
    <hyperlink ref="S57" r:id="rId96" xr:uid="{73808C58-C2FD-4818-BFFE-4C4ECFFB96E1}"/>
    <hyperlink ref="R58" r:id="rId97" xr:uid="{1DF9F14B-2366-4CA6-AFA6-FCFC9FB0E53D}"/>
    <hyperlink ref="S58" r:id="rId98" xr:uid="{4450C588-95D6-462A-9842-6595345A4F08}"/>
    <hyperlink ref="R59" r:id="rId99" xr:uid="{81AB0811-9DB2-4B5C-9F2F-EF564E8B87F9}"/>
    <hyperlink ref="S59" r:id="rId100" xr:uid="{32B6FEDE-DF23-4D4F-9503-5C7CAD6B96ED}"/>
    <hyperlink ref="R60" r:id="rId101" xr:uid="{29921ED9-32F7-4FA2-B5A6-831251C96194}"/>
    <hyperlink ref="S60" r:id="rId102" xr:uid="{C359C7DC-60C7-4386-BF83-933505A25F63}"/>
    <hyperlink ref="R61" r:id="rId103" xr:uid="{3AF27E4A-0C93-40FD-A470-DFB28B48F4A7}"/>
    <hyperlink ref="S61" r:id="rId104" xr:uid="{DB1E6335-8C26-434B-AF84-279BEC6979C7}"/>
    <hyperlink ref="R62" r:id="rId105" xr:uid="{1BC4CDAC-AF25-4F63-BD6F-AC42E3A9FED3}"/>
    <hyperlink ref="S62" r:id="rId106" xr:uid="{D5BBE665-0038-4725-B870-E9612425BBCA}"/>
    <hyperlink ref="R63" r:id="rId107" xr:uid="{B3BC4205-AE77-48A5-9599-F6B02FCD7157}"/>
    <hyperlink ref="S63" r:id="rId108" xr:uid="{16B252CC-B66C-41D7-89D8-91E8B1B72AB1}"/>
    <hyperlink ref="R64" r:id="rId109" xr:uid="{FFDD671B-66CC-43E2-AA07-8B14B99EB859}"/>
    <hyperlink ref="S64" r:id="rId110" xr:uid="{E5B397BF-5CA2-492D-907C-9F9CEF0B54D6}"/>
    <hyperlink ref="S69" r:id="rId111" xr:uid="{4D8015F0-B07D-4675-A5B8-AD50D0802F44}"/>
    <hyperlink ref="S224:S225" r:id="rId112" display="lisa0824@cathaybk.com.tw" xr:uid="{3D562B41-2B23-486C-AF2E-94A4E851AA6E}"/>
    <hyperlink ref="S239" r:id="rId113" xr:uid="{1D666B79-720A-402B-8073-40AC8875E174}"/>
    <hyperlink ref="S252" r:id="rId114" xr:uid="{8E40F1C1-7A85-4F46-9899-5B5349BC8884}"/>
    <hyperlink ref="S253:S254" r:id="rId115" display="lisa0824@cathaybk.com.tw" xr:uid="{BBF16EBA-3DA8-4FE4-9938-41B51D494F95}"/>
    <hyperlink ref="S257" r:id="rId116" xr:uid="{FC39FD32-D291-48E3-9AE1-3DA091D86090}"/>
    <hyperlink ref="S262" r:id="rId117" xr:uid="{EC047B98-F54E-4CEE-A9AA-C8F1003E7F99}"/>
    <hyperlink ref="S266" r:id="rId118" xr:uid="{AD267014-4A12-45E4-8914-30957C6C3263}"/>
    <hyperlink ref="R264" r:id="rId119" xr:uid="{368C4282-A608-4EF0-8312-E60AA647E798}"/>
    <hyperlink ref="R255" r:id="rId120" xr:uid="{75E887A7-6FF4-4B4A-9FBB-10DFD9ADA4B1}"/>
    <hyperlink ref="R244" r:id="rId121" xr:uid="{7474A734-8DE0-4AE5-B9A1-B8CD5C56AD2A}"/>
    <hyperlink ref="R243" r:id="rId122" xr:uid="{38937278-5700-41CA-B4D4-0E5FC059F53A}"/>
    <hyperlink ref="R237" r:id="rId123" xr:uid="{986248B7-3891-4708-8EB1-7429B10708D4}"/>
    <hyperlink ref="R222" r:id="rId124" xr:uid="{F31BF05E-82D9-4945-BADA-9D97D6CD0DB3}"/>
    <hyperlink ref="R221" r:id="rId125" xr:uid="{A03DB480-5DBB-48CF-9B51-C4E68E42BC14}"/>
    <hyperlink ref="R220" r:id="rId126" xr:uid="{3CAC594D-1A48-419E-B2FD-C8FB8C370F8D}"/>
    <hyperlink ref="S171" r:id="rId127" xr:uid="{051FAC9E-EFD1-4DD1-861F-2F568D6AADFD}"/>
    <hyperlink ref="S247" r:id="rId128" xr:uid="{C6875579-26E1-42A2-A423-4FD123914FB8}"/>
    <hyperlink ref="R247" r:id="rId129" xr:uid="{2BB7B523-EA48-44CD-918E-5CECBCE7FB4A}"/>
    <hyperlink ref="S209" r:id="rId130" xr:uid="{9A61E4D2-22F5-462E-802F-C93FA739762D}"/>
    <hyperlink ref="R201" r:id="rId131" xr:uid="{2F0233B5-1AC8-4999-885E-E3B5398497C4}"/>
    <hyperlink ref="R202" r:id="rId132" xr:uid="{950F9D1C-4012-43AE-80DF-F12B9DA21BF7}"/>
    <hyperlink ref="R203" r:id="rId133" xr:uid="{CF963D57-5E83-4669-80C3-D88261D04D75}"/>
    <hyperlink ref="R204" r:id="rId134" xr:uid="{66BB8F81-AA5C-4A97-9A33-98B854B1D061}"/>
    <hyperlink ref="R205" r:id="rId135" xr:uid="{C502A3CC-9116-4E5A-A46C-9F867894458B}"/>
    <hyperlink ref="R206" r:id="rId136" xr:uid="{64263A0C-7016-47B1-9A4D-00116B01AC7A}"/>
    <hyperlink ref="R207" r:id="rId137" xr:uid="{8D363462-F3C7-4413-9910-589BE05DBACE}"/>
    <hyperlink ref="S218" r:id="rId138" xr:uid="{BC04FAB4-31E5-4D2D-B5C2-508C2EA62F06}"/>
    <hyperlink ref="S92" r:id="rId139" xr:uid="{303426B9-04F7-4200-93E8-75612F6F4EB8}"/>
    <hyperlink ref="S251" r:id="rId140" xr:uid="{15690BA5-B468-4AF9-AD0B-C787679A7BED}"/>
    <hyperlink ref="S86" r:id="rId141" xr:uid="{3F8DD7B7-7A31-4CF3-807E-E7D9180A8583}"/>
    <hyperlink ref="S265" r:id="rId142" xr:uid="{E557E6C8-BEC9-458E-AB7D-BAC3CDED0151}"/>
    <hyperlink ref="S124" r:id="rId143" xr:uid="{0A810230-1278-4288-AB5D-E7DDCA2A9036}"/>
    <hyperlink ref="S125" r:id="rId144" xr:uid="{8EA640E6-A4DA-4341-A79A-806B98390074}"/>
    <hyperlink ref="S126:S135" r:id="rId145" display="lwj@cathaybk.com.tw" xr:uid="{DEB99344-48FF-4C2B-AD4B-27248349440A}"/>
    <hyperlink ref="S246" r:id="rId146" xr:uid="{B9C79243-2F94-4921-8F6A-DE834196CEB9}"/>
    <hyperlink ref="S248" r:id="rId147" xr:uid="{369A2338-F7E4-47D6-A684-773A2E32178D}"/>
    <hyperlink ref="S249:S250" r:id="rId148" display="lwj@cathaybk.com.tw" xr:uid="{274E51CD-5378-41FB-94BF-D0F30AC86AC4}"/>
    <hyperlink ref="S258" r:id="rId149" xr:uid="{23C5E8D8-BB78-4F68-8FB7-F4295A44EF40}"/>
    <hyperlink ref="R124:R135" r:id="rId150" display="vn_it_ap@vn.cathaybk.com" xr:uid="{7A6DA71F-9B36-4909-B052-B6973028EE43}"/>
    <hyperlink ref="R246" r:id="rId151" xr:uid="{00A78CC9-B049-41D7-9663-EA6D939972A9}"/>
    <hyperlink ref="R248" r:id="rId152" xr:uid="{6798E093-4460-43DA-BC89-CA307561FA6A}"/>
    <hyperlink ref="S230" r:id="rId153" xr:uid="{7FFD0DC5-F40A-4EDC-BFAA-198085D1A96C}"/>
    <hyperlink ref="S229" r:id="rId154" xr:uid="{34EEAFDB-FB9A-4B16-A713-937BDE360A4F}"/>
    <hyperlink ref="S240" r:id="rId155" xr:uid="{5AB74A11-E413-4A8C-B961-42BD5C1AD1EC}"/>
    <hyperlink ref="S259" r:id="rId156" xr:uid="{ACAF52F0-72A4-437B-A95B-3F0AF92F9781}"/>
    <hyperlink ref="S260" r:id="rId157" xr:uid="{3CC5A12A-7FDA-4C4E-8942-ACDDC1B7D654}"/>
    <hyperlink ref="S270" r:id="rId158" xr:uid="{A45CB806-615D-460D-BDD2-5F8682D83655}"/>
    <hyperlink ref="R270" r:id="rId159" xr:uid="{AEA5A05B-D442-4C8F-9363-668A99918963}"/>
  </hyperlinks>
  <pageMargins left="0.7" right="0.7" top="0.75" bottom="0.75" header="0.3" footer="0.3"/>
  <pageSetup paperSize="9" orientation="portrait" horizontalDpi="300" verticalDpi="300" r:id="rId160"/>
  <legacyDrawing r:id="rId16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D891-45C2-41FC-B627-453310C93813}">
  <dimension ref="A1:H25"/>
  <sheetViews>
    <sheetView workbookViewId="0">
      <selection activeCell="L24" sqref="L24"/>
    </sheetView>
  </sheetViews>
  <sheetFormatPr defaultRowHeight="12.75"/>
  <cols>
    <col min="1" max="1" width="20" bestFit="1" customWidth="1"/>
    <col min="2" max="2" width="8.5703125" bestFit="1" customWidth="1"/>
    <col min="3" max="3" width="28" bestFit="1" customWidth="1"/>
    <col min="5" max="5" width="20" bestFit="1" customWidth="1"/>
    <col min="7" max="7" width="11.7109375" customWidth="1"/>
    <col min="8" max="8" width="20.5703125" customWidth="1"/>
  </cols>
  <sheetData>
    <row r="1" spans="1:8">
      <c r="A1" s="256" t="s">
        <v>1199</v>
      </c>
      <c r="B1" s="256" t="s">
        <v>1200</v>
      </c>
      <c r="C1" t="s">
        <v>1201</v>
      </c>
      <c r="G1" s="256" t="s">
        <v>232</v>
      </c>
      <c r="H1" s="256" t="s">
        <v>1202</v>
      </c>
    </row>
    <row r="2" spans="1:8">
      <c r="A2" t="s">
        <v>34</v>
      </c>
      <c r="B2" t="s">
        <v>1203</v>
      </c>
      <c r="C2" t="s">
        <v>501</v>
      </c>
      <c r="G2" t="s">
        <v>630</v>
      </c>
      <c r="H2" t="s">
        <v>1204</v>
      </c>
    </row>
    <row r="3" spans="1:8">
      <c r="A3" t="s">
        <v>690</v>
      </c>
      <c r="B3" t="s">
        <v>1205</v>
      </c>
      <c r="C3" t="s">
        <v>670</v>
      </c>
      <c r="G3" t="s">
        <v>630</v>
      </c>
      <c r="H3" t="s">
        <v>631</v>
      </c>
    </row>
    <row r="4" spans="1:8">
      <c r="A4" t="s">
        <v>352</v>
      </c>
      <c r="B4" t="s">
        <v>1206</v>
      </c>
      <c r="C4" t="s">
        <v>363</v>
      </c>
      <c r="G4" t="s">
        <v>226</v>
      </c>
      <c r="H4" t="s">
        <v>34</v>
      </c>
    </row>
    <row r="5" spans="1:8">
      <c r="A5" t="s">
        <v>93</v>
      </c>
      <c r="B5" t="s">
        <v>1206</v>
      </c>
      <c r="C5" t="s">
        <v>363</v>
      </c>
      <c r="G5" t="s">
        <v>226</v>
      </c>
      <c r="H5" t="s">
        <v>506</v>
      </c>
    </row>
    <row r="6" spans="1:8">
      <c r="A6" t="s">
        <v>427</v>
      </c>
      <c r="B6" t="s">
        <v>1206</v>
      </c>
      <c r="C6" t="s">
        <v>363</v>
      </c>
      <c r="G6" t="s">
        <v>226</v>
      </c>
      <c r="H6" t="s">
        <v>974</v>
      </c>
    </row>
    <row r="7" spans="1:8">
      <c r="A7" t="s">
        <v>315</v>
      </c>
      <c r="B7" t="s">
        <v>1207</v>
      </c>
      <c r="C7" t="s">
        <v>325</v>
      </c>
      <c r="G7" t="s">
        <v>226</v>
      </c>
      <c r="H7" t="s">
        <v>1208</v>
      </c>
    </row>
    <row r="8" spans="1:8">
      <c r="A8" t="s">
        <v>39</v>
      </c>
      <c r="B8" t="s">
        <v>1205</v>
      </c>
      <c r="C8" t="s">
        <v>670</v>
      </c>
      <c r="G8" t="s">
        <v>226</v>
      </c>
      <c r="H8" t="s">
        <v>1209</v>
      </c>
    </row>
    <row r="9" spans="1:8">
      <c r="A9" t="s">
        <v>782</v>
      </c>
      <c r="B9" t="s">
        <v>1210</v>
      </c>
      <c r="C9" t="s">
        <v>311</v>
      </c>
      <c r="G9" t="s">
        <v>226</v>
      </c>
      <c r="H9" t="s">
        <v>922</v>
      </c>
    </row>
    <row r="10" spans="1:8">
      <c r="A10" t="s">
        <v>303</v>
      </c>
      <c r="B10" t="s">
        <v>1210</v>
      </c>
      <c r="C10" t="s">
        <v>311</v>
      </c>
      <c r="G10" t="s">
        <v>226</v>
      </c>
      <c r="H10" t="s">
        <v>519</v>
      </c>
    </row>
    <row r="11" spans="1:8">
      <c r="A11" t="s">
        <v>922</v>
      </c>
      <c r="B11" t="s">
        <v>1211</v>
      </c>
      <c r="C11" t="s">
        <v>932</v>
      </c>
      <c r="G11" t="s">
        <v>226</v>
      </c>
      <c r="H11" t="s">
        <v>539</v>
      </c>
    </row>
    <row r="12" spans="1:8">
      <c r="A12" t="s">
        <v>506</v>
      </c>
      <c r="B12" t="s">
        <v>1203</v>
      </c>
      <c r="C12" t="s">
        <v>501</v>
      </c>
      <c r="G12" t="s">
        <v>226</v>
      </c>
      <c r="H12" t="s">
        <v>1212</v>
      </c>
    </row>
    <row r="13" spans="1:8">
      <c r="A13" t="s">
        <v>990</v>
      </c>
      <c r="B13" t="s">
        <v>1203</v>
      </c>
      <c r="C13" t="s">
        <v>501</v>
      </c>
      <c r="G13" t="s">
        <v>226</v>
      </c>
      <c r="H13" t="s">
        <v>1213</v>
      </c>
    </row>
    <row r="14" spans="1:8">
      <c r="A14" t="s">
        <v>519</v>
      </c>
      <c r="B14" t="s">
        <v>1214</v>
      </c>
      <c r="C14" t="s">
        <v>528</v>
      </c>
      <c r="G14" t="s">
        <v>314</v>
      </c>
      <c r="H14" t="s">
        <v>352</v>
      </c>
    </row>
    <row r="15" spans="1:8">
      <c r="A15" t="s">
        <v>974</v>
      </c>
      <c r="B15" t="s">
        <v>1203</v>
      </c>
      <c r="C15" t="s">
        <v>501</v>
      </c>
      <c r="G15" t="s">
        <v>314</v>
      </c>
      <c r="H15" t="s">
        <v>93</v>
      </c>
    </row>
    <row r="16" spans="1:8">
      <c r="A16" t="s">
        <v>631</v>
      </c>
      <c r="B16" t="s">
        <v>1215</v>
      </c>
      <c r="C16" t="s">
        <v>640</v>
      </c>
      <c r="G16" t="s">
        <v>314</v>
      </c>
      <c r="H16" t="s">
        <v>1216</v>
      </c>
    </row>
    <row r="17" spans="1:8">
      <c r="A17" t="s">
        <v>539</v>
      </c>
      <c r="B17" t="s">
        <v>1214</v>
      </c>
      <c r="C17" t="s">
        <v>528</v>
      </c>
      <c r="G17" t="s">
        <v>314</v>
      </c>
      <c r="H17" t="s">
        <v>1217</v>
      </c>
    </row>
    <row r="18" spans="1:8">
      <c r="G18" t="s">
        <v>314</v>
      </c>
      <c r="H18" t="s">
        <v>1218</v>
      </c>
    </row>
    <row r="19" spans="1:8">
      <c r="G19" t="s">
        <v>226</v>
      </c>
      <c r="H19" t="s">
        <v>990</v>
      </c>
    </row>
    <row r="20" spans="1:8">
      <c r="G20" t="s">
        <v>226</v>
      </c>
      <c r="H20" t="s">
        <v>303</v>
      </c>
    </row>
    <row r="21" spans="1:8">
      <c r="G21" t="s">
        <v>314</v>
      </c>
      <c r="H21" t="s">
        <v>315</v>
      </c>
    </row>
    <row r="22" spans="1:8">
      <c r="G22" t="s">
        <v>314</v>
      </c>
      <c r="H22" t="s">
        <v>427</v>
      </c>
    </row>
    <row r="23" spans="1:8">
      <c r="G23" t="s">
        <v>226</v>
      </c>
      <c r="H23" t="s">
        <v>690</v>
      </c>
    </row>
    <row r="24" spans="1:8">
      <c r="G24" t="s">
        <v>226</v>
      </c>
      <c r="H24" t="s">
        <v>782</v>
      </c>
    </row>
    <row r="25" spans="1:8">
      <c r="G25" t="s">
        <v>226</v>
      </c>
      <c r="H25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68DF-C952-4E30-BB25-4A132908A99E}">
  <sheetPr codeName="工作表6" filterMode="1"/>
  <dimension ref="A1:J7"/>
  <sheetViews>
    <sheetView zoomScale="83" workbookViewId="0">
      <selection activeCell="F27" sqref="F27"/>
    </sheetView>
  </sheetViews>
  <sheetFormatPr defaultRowHeight="12.75"/>
  <cols>
    <col min="1" max="1" width="13.85546875" bestFit="1" customWidth="1"/>
    <col min="2" max="2" width="26.7109375" bestFit="1" customWidth="1"/>
    <col min="3" max="3" width="26.28515625" bestFit="1" customWidth="1"/>
    <col min="4" max="5" width="12" bestFit="1" customWidth="1"/>
    <col min="6" max="6" width="33.85546875" bestFit="1" customWidth="1"/>
    <col min="7" max="7" width="25.28515625" bestFit="1" customWidth="1"/>
    <col min="8" max="8" width="33.85546875" bestFit="1" customWidth="1"/>
    <col min="9" max="9" width="38.28515625" bestFit="1" customWidth="1"/>
    <col min="10" max="10" width="20.140625" bestFit="1" customWidth="1"/>
  </cols>
  <sheetData>
    <row r="1" spans="1:10" ht="66">
      <c r="A1" s="68" t="s">
        <v>233</v>
      </c>
      <c r="B1" s="68" t="s">
        <v>1219</v>
      </c>
      <c r="C1" s="68" t="s">
        <v>1220</v>
      </c>
      <c r="D1" s="68" t="s">
        <v>1221</v>
      </c>
      <c r="E1" s="69" t="s">
        <v>239</v>
      </c>
      <c r="F1" s="70" t="s">
        <v>1222</v>
      </c>
      <c r="G1" s="70" t="s">
        <v>1223</v>
      </c>
      <c r="H1" s="70" t="s">
        <v>1224</v>
      </c>
      <c r="I1" s="70" t="s">
        <v>1225</v>
      </c>
      <c r="J1" s="70" t="s">
        <v>1226</v>
      </c>
    </row>
    <row r="2" spans="1:10" ht="37.5" hidden="1" customHeight="1">
      <c r="A2" s="71" t="s">
        <v>1227</v>
      </c>
      <c r="B2" s="71" t="s">
        <v>954</v>
      </c>
      <c r="C2" s="67" t="s">
        <v>961</v>
      </c>
      <c r="D2" s="67" t="s">
        <v>333</v>
      </c>
      <c r="E2" s="67" t="s">
        <v>334</v>
      </c>
      <c r="F2" s="73">
        <f>G2*12</f>
        <v>7200</v>
      </c>
      <c r="G2" s="73">
        <v>600</v>
      </c>
      <c r="H2" s="85" t="s">
        <v>1228</v>
      </c>
      <c r="I2" s="74" t="s">
        <v>1229</v>
      </c>
      <c r="J2" s="67"/>
    </row>
    <row r="3" spans="1:10" ht="38.25" hidden="1">
      <c r="A3" s="71" t="s">
        <v>1227</v>
      </c>
      <c r="B3" s="71" t="s">
        <v>954</v>
      </c>
      <c r="C3" s="67" t="s">
        <v>966</v>
      </c>
      <c r="D3" s="67" t="s">
        <v>333</v>
      </c>
      <c r="E3" s="67" t="s">
        <v>380</v>
      </c>
      <c r="F3" s="73">
        <f>G3*12</f>
        <v>8400</v>
      </c>
      <c r="G3" s="73">
        <v>700</v>
      </c>
      <c r="H3" s="85"/>
      <c r="I3" s="74" t="s">
        <v>1229</v>
      </c>
      <c r="J3" s="67"/>
    </row>
    <row r="4" spans="1:10" ht="38.25" hidden="1">
      <c r="A4" s="71" t="s">
        <v>1227</v>
      </c>
      <c r="B4" s="71" t="s">
        <v>954</v>
      </c>
      <c r="C4" s="67" t="s">
        <v>955</v>
      </c>
      <c r="D4" s="67" t="s">
        <v>333</v>
      </c>
      <c r="E4" s="67" t="s">
        <v>365</v>
      </c>
      <c r="F4" s="73">
        <f>G4*12</f>
        <v>9600</v>
      </c>
      <c r="G4" s="73">
        <v>800</v>
      </c>
      <c r="H4" s="85"/>
      <c r="I4" s="74" t="s">
        <v>1229</v>
      </c>
      <c r="J4" s="67"/>
    </row>
    <row r="5" spans="1:10" ht="30.95" customHeight="1">
      <c r="A5" s="71" t="s">
        <v>1227</v>
      </c>
      <c r="B5" s="71" t="s">
        <v>967</v>
      </c>
      <c r="C5" s="67" t="s">
        <v>973</v>
      </c>
      <c r="D5" s="67" t="s">
        <v>333</v>
      </c>
      <c r="E5" s="67" t="s">
        <v>334</v>
      </c>
      <c r="F5" s="75">
        <v>5000</v>
      </c>
      <c r="G5" s="75">
        <v>500</v>
      </c>
      <c r="H5" s="85" t="s">
        <v>969</v>
      </c>
      <c r="I5" s="76" t="s">
        <v>970</v>
      </c>
      <c r="J5" s="67"/>
    </row>
    <row r="6" spans="1:10" ht="16.5">
      <c r="A6" s="71" t="s">
        <v>1227</v>
      </c>
      <c r="B6" s="71" t="s">
        <v>967</v>
      </c>
      <c r="C6" s="67" t="s">
        <v>972</v>
      </c>
      <c r="D6" s="67" t="s">
        <v>333</v>
      </c>
      <c r="E6" s="67" t="s">
        <v>380</v>
      </c>
      <c r="F6" s="75">
        <v>9500</v>
      </c>
      <c r="G6" s="75">
        <v>950</v>
      </c>
      <c r="H6" s="85"/>
      <c r="I6" s="77" t="s">
        <v>970</v>
      </c>
      <c r="J6" s="67"/>
    </row>
    <row r="7" spans="1:10" ht="16.5">
      <c r="A7" s="71" t="s">
        <v>1227</v>
      </c>
      <c r="B7" s="71" t="s">
        <v>967</v>
      </c>
      <c r="C7" s="67" t="s">
        <v>968</v>
      </c>
      <c r="D7" s="67" t="s">
        <v>333</v>
      </c>
      <c r="E7" s="67" t="s">
        <v>365</v>
      </c>
      <c r="F7" s="75">
        <v>17000</v>
      </c>
      <c r="G7" s="75">
        <v>1600</v>
      </c>
      <c r="H7" s="85"/>
      <c r="I7" s="76" t="s">
        <v>970</v>
      </c>
      <c r="J7" s="67" t="s">
        <v>971</v>
      </c>
    </row>
  </sheetData>
  <autoFilter ref="A1:J7" xr:uid="{11B768DF-C952-4E30-BB25-4A132908A99E}">
    <filterColumn colId="2">
      <filters>
        <filter val="mid-lx-mip-01-prod-0da981"/>
        <filter val="mid-lx-mip-01-uat-674bba"/>
        <filter val="mid-lx-mip-01-ut-206073"/>
      </filters>
    </filterColumn>
  </autoFilter>
  <phoneticPr fontId="11" type="noConversion"/>
  <hyperlinks>
    <hyperlink ref="I7" r:id="rId1" xr:uid="{081BBD77-92F3-4E3E-BA84-AA1704535192}"/>
    <hyperlink ref="I5" r:id="rId2" xr:uid="{056022B3-FCA7-4238-866A-5939FFCD16AD}"/>
  </hyperlinks>
  <pageMargins left="0.7" right="0.7" top="0.75" bottom="0.75" header="0.3" footer="0.3"/>
  <pageSetup paperSize="9" orientation="portrait" horizontalDpi="300" verticalDpi="300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16DB-7AB8-4B7E-A608-377D05FF09E8}">
  <sheetPr codeName="工作表7"/>
  <dimension ref="A1:J9"/>
  <sheetViews>
    <sheetView topLeftCell="B1" zoomScale="82" workbookViewId="0">
      <selection activeCell="B9" sqref="B9"/>
    </sheetView>
  </sheetViews>
  <sheetFormatPr defaultRowHeight="12.75"/>
  <cols>
    <col min="2" max="2" width="34.5703125" bestFit="1" customWidth="1"/>
    <col min="3" max="3" width="24.140625" bestFit="1" customWidth="1"/>
    <col min="6" max="6" width="37.140625" customWidth="1"/>
    <col min="7" max="7" width="29.42578125" customWidth="1"/>
    <col min="8" max="8" width="31.140625" customWidth="1"/>
    <col min="9" max="9" width="32.140625" bestFit="1" customWidth="1"/>
  </cols>
  <sheetData>
    <row r="1" spans="1:10" ht="115.5">
      <c r="A1" s="68" t="s">
        <v>233</v>
      </c>
      <c r="B1" s="68" t="s">
        <v>1219</v>
      </c>
      <c r="C1" s="68" t="s">
        <v>1220</v>
      </c>
      <c r="D1" s="68" t="s">
        <v>1221</v>
      </c>
      <c r="E1" s="69" t="s">
        <v>239</v>
      </c>
      <c r="F1" s="70" t="s">
        <v>1222</v>
      </c>
      <c r="G1" s="70" t="s">
        <v>1230</v>
      </c>
      <c r="H1" s="70" t="s">
        <v>1231</v>
      </c>
      <c r="I1" s="70" t="s">
        <v>1225</v>
      </c>
      <c r="J1" s="70" t="s">
        <v>1226</v>
      </c>
    </row>
    <row r="2" spans="1:10" ht="15.75" hidden="1">
      <c r="A2" s="71" t="s">
        <v>922</v>
      </c>
      <c r="B2" s="112" t="s">
        <v>924</v>
      </c>
      <c r="C2" s="101" t="s">
        <v>936</v>
      </c>
      <c r="D2" s="101" t="s">
        <v>333</v>
      </c>
      <c r="E2" s="101" t="s">
        <v>334</v>
      </c>
      <c r="F2" s="157">
        <v>434.56319999999994</v>
      </c>
      <c r="G2" s="101">
        <v>20</v>
      </c>
      <c r="H2" s="257" t="s">
        <v>1232</v>
      </c>
      <c r="I2" s="158" t="s">
        <v>930</v>
      </c>
      <c r="J2" s="72"/>
    </row>
    <row r="3" spans="1:10" ht="15.75" hidden="1">
      <c r="A3" s="71" t="s">
        <v>922</v>
      </c>
      <c r="B3" s="112" t="s">
        <v>924</v>
      </c>
      <c r="C3" s="101" t="s">
        <v>934</v>
      </c>
      <c r="D3" s="101" t="s">
        <v>333</v>
      </c>
      <c r="E3" s="101" t="s">
        <v>380</v>
      </c>
      <c r="F3" s="157">
        <v>147.45599999999996</v>
      </c>
      <c r="G3" s="101">
        <v>25</v>
      </c>
      <c r="H3" s="257"/>
      <c r="I3" s="158" t="s">
        <v>930</v>
      </c>
      <c r="J3" s="72"/>
    </row>
    <row r="4" spans="1:10" ht="15.75" hidden="1">
      <c r="A4" s="71" t="s">
        <v>922</v>
      </c>
      <c r="B4" s="112" t="s">
        <v>924</v>
      </c>
      <c r="C4" s="101" t="s">
        <v>1233</v>
      </c>
      <c r="D4" s="101" t="s">
        <v>333</v>
      </c>
      <c r="E4" s="101" t="s">
        <v>365</v>
      </c>
      <c r="F4" s="157">
        <v>296.1216</v>
      </c>
      <c r="G4" s="101">
        <v>45</v>
      </c>
      <c r="H4" s="257"/>
      <c r="I4" s="158" t="s">
        <v>930</v>
      </c>
      <c r="J4" s="72"/>
    </row>
    <row r="5" spans="1:10" ht="15.75" hidden="1">
      <c r="A5" s="71" t="s">
        <v>922</v>
      </c>
      <c r="B5" s="112" t="s">
        <v>924</v>
      </c>
      <c r="C5" s="101" t="s">
        <v>925</v>
      </c>
      <c r="D5" s="101" t="s">
        <v>333</v>
      </c>
      <c r="E5" s="101" t="s">
        <v>365</v>
      </c>
      <c r="F5" s="157">
        <v>5345.6543999999994</v>
      </c>
      <c r="G5" s="101">
        <v>250</v>
      </c>
      <c r="H5" s="257"/>
      <c r="I5" s="158" t="s">
        <v>930</v>
      </c>
      <c r="J5" s="72"/>
    </row>
    <row r="6" spans="1:10" ht="15.75" hidden="1">
      <c r="A6" s="71" t="s">
        <v>922</v>
      </c>
      <c r="B6" s="112" t="s">
        <v>938</v>
      </c>
      <c r="C6" s="101" t="s">
        <v>943</v>
      </c>
      <c r="D6" s="101" t="s">
        <v>333</v>
      </c>
      <c r="E6" s="101" t="s">
        <v>334</v>
      </c>
      <c r="F6" s="157">
        <v>7647.1919999999991</v>
      </c>
      <c r="G6" s="101">
        <v>700</v>
      </c>
      <c r="H6" s="257" t="s">
        <v>1232</v>
      </c>
      <c r="I6" s="150" t="s">
        <v>1234</v>
      </c>
      <c r="J6" s="72"/>
    </row>
    <row r="7" spans="1:10" ht="15.75" hidden="1">
      <c r="A7" s="71" t="s">
        <v>922</v>
      </c>
      <c r="B7" s="112" t="s">
        <v>938</v>
      </c>
      <c r="C7" s="101" t="s">
        <v>942</v>
      </c>
      <c r="D7" s="101" t="s">
        <v>333</v>
      </c>
      <c r="E7" s="101" t="s">
        <v>380</v>
      </c>
      <c r="F7" s="157">
        <v>7060.6559999999999</v>
      </c>
      <c r="G7" s="101">
        <v>700</v>
      </c>
      <c r="H7" s="258"/>
      <c r="I7" s="150" t="s">
        <v>1234</v>
      </c>
      <c r="J7" s="72"/>
    </row>
    <row r="8" spans="1:10" ht="15.75" hidden="1">
      <c r="A8" s="71" t="s">
        <v>922</v>
      </c>
      <c r="B8" s="112" t="s">
        <v>938</v>
      </c>
      <c r="C8" s="101" t="s">
        <v>939</v>
      </c>
      <c r="D8" s="101" t="s">
        <v>333</v>
      </c>
      <c r="E8" s="101" t="s">
        <v>365</v>
      </c>
      <c r="F8" s="157">
        <v>16531.2</v>
      </c>
      <c r="G8" s="101">
        <v>1500</v>
      </c>
      <c r="H8" s="258"/>
      <c r="I8" s="150" t="s">
        <v>1234</v>
      </c>
      <c r="J8" s="72"/>
    </row>
    <row r="9" spans="1:10" ht="63.75">
      <c r="A9" s="71" t="s">
        <v>922</v>
      </c>
      <c r="B9" s="162" t="s">
        <v>1235</v>
      </c>
      <c r="C9" s="161" t="s">
        <v>1236</v>
      </c>
      <c r="D9" s="101" t="s">
        <v>333</v>
      </c>
      <c r="E9" s="101" t="s">
        <v>334</v>
      </c>
      <c r="F9" s="159">
        <v>42</v>
      </c>
      <c r="G9" s="157">
        <v>3.3</v>
      </c>
      <c r="H9" s="160" t="s">
        <v>951</v>
      </c>
      <c r="I9" s="150" t="s">
        <v>1237</v>
      </c>
      <c r="J9" s="72"/>
    </row>
  </sheetData>
  <mergeCells count="2">
    <mergeCell ref="H2:H5"/>
    <mergeCell ref="H6:H8"/>
  </mergeCells>
  <phoneticPr fontId="11" type="noConversion"/>
  <hyperlinks>
    <hyperlink ref="I2" r:id="rId1" xr:uid="{0F4BB588-C3CD-4A03-AFEB-89CED6DBAF9B}"/>
    <hyperlink ref="I3" r:id="rId2" xr:uid="{69FA8B3E-4F80-4BAC-88FA-8B36D58071FD}"/>
    <hyperlink ref="I4" r:id="rId3" xr:uid="{BC733E21-705C-4AAE-A52D-78DE8F25C186}"/>
    <hyperlink ref="I5" r:id="rId4" xr:uid="{7F047F78-8E51-43F2-BD6C-1A2522FA9C36}"/>
    <hyperlink ref="I6" r:id="rId5" xr:uid="{E5853F91-88E1-4D56-8FAC-C46023E02A9C}"/>
    <hyperlink ref="I7" r:id="rId6" xr:uid="{2ED14272-2F4A-42CD-9C4D-8FBC5F20C05B}"/>
    <hyperlink ref="I8" r:id="rId7" xr:uid="{D1E34B81-820E-41FD-BE11-4E162A6256BB}"/>
    <hyperlink ref="I9" r:id="rId8" xr:uid="{E6D1DA8F-7DC0-4C14-BB93-7F3075C87AF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26B2-8FA2-457F-AE05-3A90F8918D94}">
  <sheetPr codeName="工作表8"/>
  <dimension ref="A1:J24"/>
  <sheetViews>
    <sheetView topLeftCell="B7" zoomScale="70" workbookViewId="0">
      <selection activeCell="H12" sqref="H12"/>
    </sheetView>
  </sheetViews>
  <sheetFormatPr defaultColWidth="9.140625" defaultRowHeight="15"/>
  <cols>
    <col min="1" max="1" width="21" style="116" bestFit="1" customWidth="1"/>
    <col min="2" max="2" width="47.28515625" style="116" bestFit="1" customWidth="1"/>
    <col min="3" max="3" width="34.28515625" style="116" bestFit="1" customWidth="1"/>
    <col min="4" max="4" width="9.140625" style="116"/>
    <col min="5" max="5" width="8.5703125" style="116" bestFit="1" customWidth="1"/>
    <col min="6" max="6" width="30" style="116" bestFit="1" customWidth="1"/>
    <col min="7" max="7" width="26.7109375" style="116" customWidth="1"/>
    <col min="8" max="8" width="64" style="116" bestFit="1" customWidth="1"/>
    <col min="9" max="9" width="43" style="116" bestFit="1" customWidth="1"/>
    <col min="10" max="10" width="6.85546875" style="116" bestFit="1" customWidth="1"/>
    <col min="11" max="16384" width="9.140625" style="116"/>
  </cols>
  <sheetData>
    <row r="1" spans="1:10" ht="132">
      <c r="A1" s="68" t="s">
        <v>233</v>
      </c>
      <c r="B1" s="68" t="s">
        <v>1219</v>
      </c>
      <c r="C1" s="68" t="s">
        <v>1220</v>
      </c>
      <c r="D1" s="68" t="s">
        <v>1221</v>
      </c>
      <c r="E1" s="69" t="s">
        <v>239</v>
      </c>
      <c r="F1" s="70" t="s">
        <v>1222</v>
      </c>
      <c r="G1" s="70" t="s">
        <v>1238</v>
      </c>
      <c r="H1" s="70" t="s">
        <v>1239</v>
      </c>
      <c r="I1" s="70" t="s">
        <v>1240</v>
      </c>
      <c r="J1" s="70" t="s">
        <v>1226</v>
      </c>
    </row>
    <row r="2" spans="1:10" ht="63">
      <c r="A2" s="71" t="s">
        <v>34</v>
      </c>
      <c r="B2" s="71" t="s">
        <v>822</v>
      </c>
      <c r="C2" s="117" t="s">
        <v>831</v>
      </c>
      <c r="D2" s="117" t="s">
        <v>333</v>
      </c>
      <c r="E2" s="117" t="s">
        <v>334</v>
      </c>
      <c r="F2" s="118">
        <v>8400</v>
      </c>
      <c r="G2" s="118">
        <v>700</v>
      </c>
      <c r="H2" s="85" t="s">
        <v>1241</v>
      </c>
      <c r="I2" s="130" t="s">
        <v>1242</v>
      </c>
      <c r="J2" s="117"/>
    </row>
    <row r="3" spans="1:10" ht="63">
      <c r="A3" s="71" t="s">
        <v>34</v>
      </c>
      <c r="B3" s="71" t="s">
        <v>822</v>
      </c>
      <c r="C3" s="117" t="s">
        <v>830</v>
      </c>
      <c r="D3" s="117" t="s">
        <v>333</v>
      </c>
      <c r="E3" s="117" t="s">
        <v>380</v>
      </c>
      <c r="F3" s="118">
        <v>8400</v>
      </c>
      <c r="G3" s="118">
        <v>700</v>
      </c>
      <c r="H3" s="85" t="s">
        <v>1241</v>
      </c>
      <c r="I3" s="130" t="s">
        <v>1242</v>
      </c>
      <c r="J3" s="117"/>
    </row>
    <row r="4" spans="1:10" ht="63">
      <c r="A4" s="71" t="s">
        <v>34</v>
      </c>
      <c r="B4" s="71" t="s">
        <v>822</v>
      </c>
      <c r="C4" s="117" t="s">
        <v>823</v>
      </c>
      <c r="D4" s="117" t="s">
        <v>333</v>
      </c>
      <c r="E4" s="117" t="s">
        <v>365</v>
      </c>
      <c r="F4" s="118">
        <v>24000</v>
      </c>
      <c r="G4" s="118">
        <v>1200</v>
      </c>
      <c r="H4" s="85" t="s">
        <v>1241</v>
      </c>
      <c r="I4" s="130" t="s">
        <v>1242</v>
      </c>
      <c r="J4" s="117"/>
    </row>
    <row r="5" spans="1:10" ht="63">
      <c r="A5" s="71" t="s">
        <v>34</v>
      </c>
      <c r="B5" s="71" t="s">
        <v>843</v>
      </c>
      <c r="C5" s="117" t="s">
        <v>851</v>
      </c>
      <c r="D5" s="117" t="s">
        <v>333</v>
      </c>
      <c r="E5" s="117" t="s">
        <v>334</v>
      </c>
      <c r="F5" s="118">
        <v>4800</v>
      </c>
      <c r="G5" s="118">
        <v>400</v>
      </c>
      <c r="H5" s="85" t="s">
        <v>847</v>
      </c>
      <c r="I5" s="78" t="s">
        <v>840</v>
      </c>
      <c r="J5" s="117"/>
    </row>
    <row r="6" spans="1:10" ht="63">
      <c r="A6" s="71" t="s">
        <v>34</v>
      </c>
      <c r="B6" s="71" t="s">
        <v>843</v>
      </c>
      <c r="C6" s="117" t="s">
        <v>848</v>
      </c>
      <c r="D6" s="117" t="s">
        <v>333</v>
      </c>
      <c r="E6" s="117" t="s">
        <v>380</v>
      </c>
      <c r="F6" s="118">
        <v>7200</v>
      </c>
      <c r="G6" s="118">
        <v>600</v>
      </c>
      <c r="H6" s="85" t="s">
        <v>847</v>
      </c>
      <c r="I6" s="78" t="s">
        <v>840</v>
      </c>
      <c r="J6" s="117"/>
    </row>
    <row r="7" spans="1:10" ht="63">
      <c r="A7" s="71" t="s">
        <v>34</v>
      </c>
      <c r="B7" s="71" t="s">
        <v>843</v>
      </c>
      <c r="C7" s="117" t="s">
        <v>844</v>
      </c>
      <c r="D7" s="117" t="s">
        <v>333</v>
      </c>
      <c r="E7" s="117" t="s">
        <v>365</v>
      </c>
      <c r="F7" s="118">
        <v>16800</v>
      </c>
      <c r="G7" s="118">
        <v>1400</v>
      </c>
      <c r="H7" s="85" t="s">
        <v>847</v>
      </c>
      <c r="I7" s="78" t="s">
        <v>840</v>
      </c>
      <c r="J7" s="117"/>
    </row>
    <row r="8" spans="1:10" ht="63">
      <c r="A8" s="71" t="s">
        <v>34</v>
      </c>
      <c r="B8" s="71" t="s">
        <v>853</v>
      </c>
      <c r="C8" s="117" t="s">
        <v>862</v>
      </c>
      <c r="D8" s="117" t="s">
        <v>333</v>
      </c>
      <c r="E8" s="117" t="s">
        <v>334</v>
      </c>
      <c r="F8" s="118">
        <v>16800</v>
      </c>
      <c r="G8" s="118">
        <v>1400</v>
      </c>
      <c r="H8" s="85" t="s">
        <v>858</v>
      </c>
      <c r="I8" s="78" t="s">
        <v>859</v>
      </c>
      <c r="J8" s="117"/>
    </row>
    <row r="9" spans="1:10" ht="63">
      <c r="A9" s="71" t="s">
        <v>34</v>
      </c>
      <c r="B9" s="71" t="s">
        <v>853</v>
      </c>
      <c r="C9" s="117" t="s">
        <v>860</v>
      </c>
      <c r="D9" s="117" t="s">
        <v>333</v>
      </c>
      <c r="E9" s="117" t="s">
        <v>380</v>
      </c>
      <c r="F9" s="118">
        <v>26400</v>
      </c>
      <c r="G9" s="118">
        <v>2200</v>
      </c>
      <c r="H9" s="85" t="s">
        <v>1243</v>
      </c>
      <c r="I9" s="78" t="s">
        <v>859</v>
      </c>
      <c r="J9" s="117"/>
    </row>
    <row r="10" spans="1:10" ht="63">
      <c r="A10" s="71" t="s">
        <v>34</v>
      </c>
      <c r="B10" s="71" t="s">
        <v>853</v>
      </c>
      <c r="C10" s="117" t="s">
        <v>854</v>
      </c>
      <c r="D10" s="117" t="s">
        <v>333</v>
      </c>
      <c r="E10" s="117" t="s">
        <v>365</v>
      </c>
      <c r="F10" s="118">
        <v>114000</v>
      </c>
      <c r="G10" s="118">
        <v>9500</v>
      </c>
      <c r="H10" s="85" t="s">
        <v>1244</v>
      </c>
      <c r="I10" s="78" t="s">
        <v>859</v>
      </c>
      <c r="J10" s="117"/>
    </row>
    <row r="11" spans="1:10" ht="63">
      <c r="A11" s="71" t="s">
        <v>34</v>
      </c>
      <c r="B11" s="71" t="s">
        <v>864</v>
      </c>
      <c r="C11" s="117" t="s">
        <v>869</v>
      </c>
      <c r="D11" s="117" t="s">
        <v>333</v>
      </c>
      <c r="E11" s="117" t="s">
        <v>334</v>
      </c>
      <c r="F11" s="118">
        <v>12000</v>
      </c>
      <c r="G11" s="118">
        <v>1000</v>
      </c>
      <c r="H11" s="131" t="s">
        <v>1245</v>
      </c>
      <c r="I11" s="130" t="s">
        <v>1242</v>
      </c>
      <c r="J11" s="117"/>
    </row>
    <row r="12" spans="1:10" ht="62.25">
      <c r="A12" s="71" t="s">
        <v>34</v>
      </c>
      <c r="B12" s="71" t="s">
        <v>864</v>
      </c>
      <c r="C12" s="117" t="s">
        <v>865</v>
      </c>
      <c r="D12" s="117" t="s">
        <v>333</v>
      </c>
      <c r="E12" s="117" t="s">
        <v>380</v>
      </c>
      <c r="F12" s="118">
        <v>12000</v>
      </c>
      <c r="G12" s="118">
        <v>1000</v>
      </c>
      <c r="H12" s="131" t="s">
        <v>1246</v>
      </c>
      <c r="I12" s="130" t="s">
        <v>1242</v>
      </c>
      <c r="J12" s="117"/>
    </row>
    <row r="13" spans="1:10" ht="63">
      <c r="A13" s="71" t="s">
        <v>34</v>
      </c>
      <c r="B13" s="71" t="s">
        <v>870</v>
      </c>
      <c r="C13" s="117" t="s">
        <v>879</v>
      </c>
      <c r="D13" s="117" t="s">
        <v>333</v>
      </c>
      <c r="E13" s="117" t="s">
        <v>334</v>
      </c>
      <c r="F13" s="82">
        <v>6000</v>
      </c>
      <c r="G13" s="82">
        <v>500</v>
      </c>
      <c r="H13" s="85" t="s">
        <v>875</v>
      </c>
      <c r="I13" s="119" t="s">
        <v>876</v>
      </c>
      <c r="J13" s="117"/>
    </row>
    <row r="14" spans="1:10" ht="63">
      <c r="A14" s="71" t="s">
        <v>34</v>
      </c>
      <c r="B14" s="71" t="s">
        <v>870</v>
      </c>
      <c r="C14" s="117" t="s">
        <v>877</v>
      </c>
      <c r="D14" s="117" t="s">
        <v>333</v>
      </c>
      <c r="E14" s="117" t="s">
        <v>380</v>
      </c>
      <c r="F14" s="82">
        <v>4800</v>
      </c>
      <c r="G14" s="82">
        <v>400</v>
      </c>
      <c r="H14" s="85" t="s">
        <v>1247</v>
      </c>
      <c r="I14" s="119" t="s">
        <v>876</v>
      </c>
      <c r="J14" s="117"/>
    </row>
    <row r="15" spans="1:10" ht="63">
      <c r="A15" s="71" t="s">
        <v>34</v>
      </c>
      <c r="B15" s="71" t="s">
        <v>870</v>
      </c>
      <c r="C15" s="117" t="s">
        <v>871</v>
      </c>
      <c r="D15" s="117" t="s">
        <v>333</v>
      </c>
      <c r="E15" s="117" t="s">
        <v>365</v>
      </c>
      <c r="F15" s="82">
        <v>6000</v>
      </c>
      <c r="G15" s="82">
        <v>500</v>
      </c>
      <c r="H15" s="85" t="s">
        <v>1248</v>
      </c>
      <c r="I15" s="119" t="s">
        <v>876</v>
      </c>
      <c r="J15" s="117"/>
    </row>
    <row r="16" spans="1:10" ht="63">
      <c r="A16" s="71" t="s">
        <v>34</v>
      </c>
      <c r="B16" s="71" t="s">
        <v>1249</v>
      </c>
      <c r="C16" s="117" t="s">
        <v>888</v>
      </c>
      <c r="D16" s="117" t="s">
        <v>333</v>
      </c>
      <c r="E16" s="117" t="s">
        <v>334</v>
      </c>
      <c r="F16" s="82">
        <v>720</v>
      </c>
      <c r="G16" s="82">
        <v>60</v>
      </c>
      <c r="H16" s="85" t="s">
        <v>886</v>
      </c>
      <c r="I16" s="78" t="s">
        <v>1250</v>
      </c>
      <c r="J16" s="117"/>
    </row>
    <row r="17" spans="1:10" ht="63">
      <c r="A17" s="71" t="s">
        <v>34</v>
      </c>
      <c r="B17" s="71" t="s">
        <v>1249</v>
      </c>
      <c r="C17" s="117" t="s">
        <v>881</v>
      </c>
      <c r="D17" s="117" t="s">
        <v>333</v>
      </c>
      <c r="E17" s="117" t="s">
        <v>380</v>
      </c>
      <c r="F17" s="82">
        <v>1080</v>
      </c>
      <c r="G17" s="82">
        <v>90</v>
      </c>
      <c r="H17" s="85" t="s">
        <v>1251</v>
      </c>
      <c r="I17" s="78" t="s">
        <v>1250</v>
      </c>
      <c r="J17" s="117"/>
    </row>
    <row r="18" spans="1:10" ht="63">
      <c r="A18" s="71" t="s">
        <v>34</v>
      </c>
      <c r="B18" s="71" t="s">
        <v>1252</v>
      </c>
      <c r="C18" s="117" t="s">
        <v>892</v>
      </c>
      <c r="D18" s="117" t="s">
        <v>333</v>
      </c>
      <c r="E18" s="117" t="s">
        <v>334</v>
      </c>
      <c r="F18" s="120">
        <v>1500</v>
      </c>
      <c r="G18" s="120">
        <v>125</v>
      </c>
      <c r="H18" s="84" t="s">
        <v>1253</v>
      </c>
      <c r="I18" s="78" t="s">
        <v>896</v>
      </c>
      <c r="J18" s="117"/>
    </row>
    <row r="19" spans="1:10" ht="63">
      <c r="A19" s="71" t="s">
        <v>34</v>
      </c>
      <c r="B19" s="71" t="s">
        <v>897</v>
      </c>
      <c r="C19" s="117" t="s">
        <v>905</v>
      </c>
      <c r="D19" s="117" t="s">
        <v>333</v>
      </c>
      <c r="E19" s="117" t="s">
        <v>334</v>
      </c>
      <c r="F19" s="118">
        <v>720</v>
      </c>
      <c r="G19" s="121">
        <v>60</v>
      </c>
      <c r="H19" s="85" t="s">
        <v>1254</v>
      </c>
      <c r="I19" s="78" t="s">
        <v>903</v>
      </c>
      <c r="J19" s="117"/>
    </row>
    <row r="20" spans="1:10" ht="63">
      <c r="A20" s="93" t="s">
        <v>34</v>
      </c>
      <c r="B20" s="93" t="s">
        <v>897</v>
      </c>
      <c r="C20" s="122" t="s">
        <v>898</v>
      </c>
      <c r="D20" s="122" t="s">
        <v>333</v>
      </c>
      <c r="E20" s="122" t="s">
        <v>380</v>
      </c>
      <c r="F20" s="123">
        <v>1320</v>
      </c>
      <c r="G20" s="123">
        <v>110</v>
      </c>
      <c r="H20" s="85" t="s">
        <v>1254</v>
      </c>
      <c r="I20" s="124" t="s">
        <v>903</v>
      </c>
      <c r="J20" s="122"/>
    </row>
    <row r="21" spans="1:10" ht="63">
      <c r="A21" s="115" t="s">
        <v>34</v>
      </c>
      <c r="B21" s="115" t="s">
        <v>1255</v>
      </c>
      <c r="C21" s="125"/>
      <c r="D21" s="125" t="s">
        <v>31</v>
      </c>
      <c r="E21" s="125" t="s">
        <v>334</v>
      </c>
      <c r="F21" s="126">
        <v>48000</v>
      </c>
      <c r="G21" s="126">
        <v>4000</v>
      </c>
      <c r="H21" s="127" t="s">
        <v>1256</v>
      </c>
      <c r="I21" s="128" t="s">
        <v>1257</v>
      </c>
      <c r="J21" s="129"/>
    </row>
    <row r="22" spans="1:10" ht="63">
      <c r="A22" s="115" t="s">
        <v>34</v>
      </c>
      <c r="B22" s="115" t="s">
        <v>1255</v>
      </c>
      <c r="C22" s="125"/>
      <c r="D22" s="125" t="s">
        <v>1258</v>
      </c>
      <c r="E22" s="125" t="s">
        <v>334</v>
      </c>
      <c r="F22" s="126">
        <v>24000</v>
      </c>
      <c r="G22" s="126">
        <v>2000</v>
      </c>
      <c r="H22" s="127" t="s">
        <v>1256</v>
      </c>
      <c r="I22" s="128" t="s">
        <v>1257</v>
      </c>
      <c r="J22" s="129"/>
    </row>
    <row r="23" spans="1:10" ht="15.75">
      <c r="A23" s="93" t="s">
        <v>906</v>
      </c>
      <c r="B23" s="93" t="s">
        <v>908</v>
      </c>
      <c r="C23" s="122" t="s">
        <v>1259</v>
      </c>
      <c r="D23" s="122" t="s">
        <v>333</v>
      </c>
      <c r="E23" s="122" t="s">
        <v>334</v>
      </c>
      <c r="F23" s="123">
        <f t="shared" ref="F23:F24" si="0">G23*12</f>
        <v>6000</v>
      </c>
      <c r="G23" s="123">
        <v>500</v>
      </c>
    </row>
    <row r="24" spans="1:10" ht="15.75">
      <c r="A24" s="93" t="s">
        <v>906</v>
      </c>
      <c r="B24" s="93" t="s">
        <v>908</v>
      </c>
      <c r="C24" s="122" t="s">
        <v>1260</v>
      </c>
      <c r="D24" s="122" t="s">
        <v>333</v>
      </c>
      <c r="E24" s="122" t="s">
        <v>380</v>
      </c>
      <c r="F24" s="123">
        <f t="shared" si="0"/>
        <v>6000</v>
      </c>
      <c r="G24" s="123">
        <v>500</v>
      </c>
    </row>
  </sheetData>
  <phoneticPr fontId="11" type="noConversion"/>
  <hyperlinks>
    <hyperlink ref="I10" r:id="rId1" xr:uid="{2E67C63F-B6FE-42E8-BF1B-AE95B835EF71}"/>
    <hyperlink ref="I8:I9" r:id="rId2" display="EPOSTeam@cathaybk.com.tw" xr:uid="{D3D761FC-3CF7-4944-B258-233037F9778D}"/>
    <hyperlink ref="I19" r:id="rId3" xr:uid="{1A7ED18E-1DBA-4631-8043-07D3BBF4F1B9}"/>
    <hyperlink ref="I20" r:id="rId4" xr:uid="{F09BAD01-5879-4F92-97F0-15CE3541D723}"/>
    <hyperlink ref="I5" r:id="rId5" xr:uid="{7F2EBF17-4B8B-4765-8D63-EE9187915375}"/>
    <hyperlink ref="I6" r:id="rId6" xr:uid="{14ABFF68-E562-4A8F-B77B-EA78C5AF5E99}"/>
    <hyperlink ref="I7" r:id="rId7" xr:uid="{EDD354B5-9B23-4098-A5EA-6111D03054A4}"/>
    <hyperlink ref="I14" r:id="rId8" xr:uid="{0B76C280-D335-4032-BD4F-3D45286197DD}"/>
    <hyperlink ref="I15" r:id="rId9" xr:uid="{B5839DE0-2E4D-421E-8B12-39956D62313C}"/>
    <hyperlink ref="I13" r:id="rId10" xr:uid="{60333B34-5DB6-41AE-A99E-B289EB5F422C}"/>
    <hyperlink ref="I18" r:id="rId11" xr:uid="{95C2DB86-4471-42FA-8EF0-95EE5D27A65F}"/>
    <hyperlink ref="I16" r:id="rId12" xr:uid="{3B6BC640-6223-4710-BB2C-4DFA62A65B6E}"/>
    <hyperlink ref="I17" r:id="rId13" xr:uid="{243CE157-541F-44CA-9E49-D8EDF94FF78C}"/>
    <hyperlink ref="I8" r:id="rId14" xr:uid="{3CBAF558-0407-4BDB-95DC-AA09731EA771}"/>
    <hyperlink ref="I21" r:id="rId15" xr:uid="{BACDC764-3EE7-47E1-8831-ACA1FFBBE50B}"/>
    <hyperlink ref="I22" r:id="rId16" xr:uid="{8C809378-FD01-46AF-A994-F6EDF44399E8}"/>
  </hyperlinks>
  <pageMargins left="0.7" right="0.7" top="0.75" bottom="0.75" header="0.3" footer="0.3"/>
  <pageSetup paperSize="9" orientation="portrait" r:id="rId1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3D65-5DD8-4235-8CA1-112A8DD7212A}">
  <sheetPr codeName="工作表9"/>
  <dimension ref="A1:J7"/>
  <sheetViews>
    <sheetView zoomScale="72" workbookViewId="0">
      <selection activeCell="A2" sqref="A2:L7"/>
    </sheetView>
  </sheetViews>
  <sheetFormatPr defaultRowHeight="12.75"/>
  <cols>
    <col min="2" max="2" width="15.85546875" customWidth="1"/>
    <col min="3" max="3" width="30.140625" customWidth="1"/>
    <col min="5" max="5" width="16.5703125" customWidth="1"/>
    <col min="6" max="6" width="23.5703125" customWidth="1"/>
    <col min="7" max="7" width="17.42578125" customWidth="1"/>
    <col min="8" max="8" width="24.85546875" customWidth="1"/>
  </cols>
  <sheetData>
    <row r="1" spans="1:10" ht="132">
      <c r="A1" s="68" t="s">
        <v>233</v>
      </c>
      <c r="B1" s="68" t="s">
        <v>1219</v>
      </c>
      <c r="C1" s="68" t="s">
        <v>1220</v>
      </c>
      <c r="D1" s="68" t="s">
        <v>1221</v>
      </c>
      <c r="E1" s="69" t="s">
        <v>239</v>
      </c>
      <c r="F1" s="70" t="s">
        <v>1222</v>
      </c>
      <c r="G1" s="70" t="s">
        <v>1230</v>
      </c>
      <c r="H1" s="70" t="s">
        <v>1261</v>
      </c>
      <c r="I1" s="70" t="s">
        <v>1262</v>
      </c>
      <c r="J1" s="70" t="s">
        <v>1226</v>
      </c>
    </row>
    <row r="2" spans="1:10" ht="15.75">
      <c r="A2" s="71" t="s">
        <v>39</v>
      </c>
      <c r="B2" s="71" t="s">
        <v>796</v>
      </c>
      <c r="C2" s="67" t="s">
        <v>799</v>
      </c>
      <c r="D2" s="67" t="s">
        <v>333</v>
      </c>
      <c r="E2" s="67" t="s">
        <v>334</v>
      </c>
      <c r="F2" s="67"/>
      <c r="G2" s="67"/>
      <c r="H2" s="67"/>
      <c r="I2" s="67"/>
      <c r="J2" s="67"/>
    </row>
    <row r="3" spans="1:10" ht="15.75">
      <c r="A3" s="71" t="s">
        <v>39</v>
      </c>
      <c r="B3" s="71" t="s">
        <v>796</v>
      </c>
      <c r="C3" s="67" t="s">
        <v>798</v>
      </c>
      <c r="D3" s="67" t="s">
        <v>333</v>
      </c>
      <c r="E3" s="67" t="s">
        <v>380</v>
      </c>
      <c r="F3" s="67"/>
      <c r="G3" s="67"/>
      <c r="H3" s="67"/>
      <c r="I3" s="67"/>
      <c r="J3" s="67"/>
    </row>
    <row r="4" spans="1:10" ht="15.75">
      <c r="A4" s="71" t="s">
        <v>39</v>
      </c>
      <c r="B4" s="71" t="s">
        <v>796</v>
      </c>
      <c r="C4" s="67" t="s">
        <v>1263</v>
      </c>
      <c r="D4" s="67" t="s">
        <v>333</v>
      </c>
      <c r="E4" s="67" t="s">
        <v>365</v>
      </c>
      <c r="F4" s="67"/>
      <c r="G4" s="67"/>
      <c r="H4" s="67"/>
      <c r="I4" s="67"/>
      <c r="J4" s="67"/>
    </row>
    <row r="5" spans="1:10" ht="120">
      <c r="A5" s="71" t="s">
        <v>39</v>
      </c>
      <c r="B5" s="71" t="s">
        <v>801</v>
      </c>
      <c r="C5" s="67" t="s">
        <v>802</v>
      </c>
      <c r="D5" s="67" t="s">
        <v>333</v>
      </c>
      <c r="E5" s="67" t="s">
        <v>334</v>
      </c>
      <c r="F5" s="67">
        <v>8200</v>
      </c>
      <c r="G5" s="67">
        <v>850</v>
      </c>
      <c r="H5" s="74" t="s">
        <v>1264</v>
      </c>
      <c r="I5" s="76" t="s">
        <v>1265</v>
      </c>
      <c r="J5" s="74" t="s">
        <v>808</v>
      </c>
    </row>
    <row r="6" spans="1:10" ht="120">
      <c r="A6" s="71" t="s">
        <v>39</v>
      </c>
      <c r="B6" s="71" t="s">
        <v>801</v>
      </c>
      <c r="C6" s="67" t="s">
        <v>810</v>
      </c>
      <c r="D6" s="67" t="s">
        <v>473</v>
      </c>
      <c r="E6" s="67"/>
      <c r="F6" s="67">
        <v>1435</v>
      </c>
      <c r="G6" s="67">
        <v>150</v>
      </c>
      <c r="H6" s="74" t="s">
        <v>1264</v>
      </c>
      <c r="I6" s="76" t="s">
        <v>1265</v>
      </c>
      <c r="J6" s="67" t="s">
        <v>813</v>
      </c>
    </row>
    <row r="7" spans="1:10" ht="15.75">
      <c r="A7" s="71" t="s">
        <v>39</v>
      </c>
      <c r="B7" s="71" t="s">
        <v>814</v>
      </c>
      <c r="C7" s="72" t="s">
        <v>815</v>
      </c>
      <c r="D7" s="72" t="s">
        <v>31</v>
      </c>
      <c r="E7" s="72" t="s">
        <v>309</v>
      </c>
      <c r="F7" s="72">
        <v>3000</v>
      </c>
      <c r="G7" s="72">
        <v>500</v>
      </c>
      <c r="H7" s="67"/>
      <c r="I7" s="78" t="s">
        <v>819</v>
      </c>
      <c r="J7" s="67" t="s">
        <v>820</v>
      </c>
    </row>
  </sheetData>
  <phoneticPr fontId="11" type="noConversion"/>
  <hyperlinks>
    <hyperlink ref="I5" r:id="rId1" xr:uid="{91EAF0F9-7442-410E-92B1-67CE400AE1BD}"/>
    <hyperlink ref="I6" r:id="rId2" xr:uid="{55B954A9-5D48-422B-BBA6-B69E5966BCC2}"/>
    <hyperlink ref="I7" r:id="rId3" xr:uid="{B6EDC635-5771-4557-9BEC-E44EFCE5EA8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DCB68-9123-4F04-8215-01D2A1A059C6}">
  <sheetPr codeName="工作表10"/>
  <dimension ref="A1:J13"/>
  <sheetViews>
    <sheetView zoomScale="77" workbookViewId="0">
      <selection activeCell="B6" sqref="B6"/>
    </sheetView>
  </sheetViews>
  <sheetFormatPr defaultRowHeight="12.75"/>
  <cols>
    <col min="2" max="2" width="26.7109375" bestFit="1" customWidth="1"/>
    <col min="3" max="3" width="24.28515625" bestFit="1" customWidth="1"/>
    <col min="6" max="6" width="26.140625" bestFit="1" customWidth="1"/>
    <col min="7" max="7" width="32" bestFit="1" customWidth="1"/>
    <col min="8" max="8" width="50.42578125" bestFit="1" customWidth="1"/>
    <col min="9" max="11" width="50.5703125" customWidth="1"/>
  </cols>
  <sheetData>
    <row r="1" spans="1:10" ht="132">
      <c r="A1" s="68" t="s">
        <v>233</v>
      </c>
      <c r="B1" s="68" t="s">
        <v>1219</v>
      </c>
      <c r="C1" s="68" t="s">
        <v>1220</v>
      </c>
      <c r="D1" s="68" t="s">
        <v>1221</v>
      </c>
      <c r="E1" s="69" t="s">
        <v>239</v>
      </c>
      <c r="F1" s="70" t="s">
        <v>1222</v>
      </c>
      <c r="G1" s="106" t="s">
        <v>1230</v>
      </c>
      <c r="H1" s="109" t="s">
        <v>1266</v>
      </c>
      <c r="I1" s="109" t="s">
        <v>1262</v>
      </c>
      <c r="J1" s="109" t="s">
        <v>1226</v>
      </c>
    </row>
    <row r="2" spans="1:10" ht="15.75">
      <c r="A2" s="71" t="s">
        <v>506</v>
      </c>
      <c r="B2" s="71" t="s">
        <v>755</v>
      </c>
      <c r="C2" s="67" t="s">
        <v>763</v>
      </c>
      <c r="D2" s="67" t="s">
        <v>333</v>
      </c>
      <c r="E2" s="67" t="s">
        <v>334</v>
      </c>
      <c r="F2" s="72">
        <v>0</v>
      </c>
      <c r="G2" s="102">
        <v>0</v>
      </c>
      <c r="H2" s="263" t="s">
        <v>760</v>
      </c>
      <c r="I2" s="261" t="s">
        <v>761</v>
      </c>
      <c r="J2" s="110"/>
    </row>
    <row r="3" spans="1:10" ht="15.75">
      <c r="A3" s="71" t="s">
        <v>506</v>
      </c>
      <c r="B3" s="71" t="s">
        <v>755</v>
      </c>
      <c r="C3" s="67" t="s">
        <v>762</v>
      </c>
      <c r="D3" s="67" t="s">
        <v>333</v>
      </c>
      <c r="E3" s="67" t="s">
        <v>380</v>
      </c>
      <c r="F3" s="72">
        <v>0</v>
      </c>
      <c r="G3" s="102">
        <v>0</v>
      </c>
      <c r="H3" s="264"/>
      <c r="I3" s="261"/>
      <c r="J3" s="110"/>
    </row>
    <row r="4" spans="1:10" ht="15.75">
      <c r="A4" s="71" t="s">
        <v>506</v>
      </c>
      <c r="B4" s="71" t="s">
        <v>755</v>
      </c>
      <c r="C4" s="67" t="s">
        <v>756</v>
      </c>
      <c r="D4" s="67" t="s">
        <v>333</v>
      </c>
      <c r="E4" s="67" t="s">
        <v>365</v>
      </c>
      <c r="F4" s="72">
        <v>0</v>
      </c>
      <c r="G4" s="102">
        <v>0</v>
      </c>
      <c r="H4" s="264"/>
      <c r="I4" s="261"/>
      <c r="J4" s="110"/>
    </row>
    <row r="5" spans="1:10" ht="15.75">
      <c r="A5" s="71" t="s">
        <v>506</v>
      </c>
      <c r="B5" s="71" t="s">
        <v>773</v>
      </c>
      <c r="C5" s="67" t="s">
        <v>781</v>
      </c>
      <c r="D5" s="67" t="s">
        <v>333</v>
      </c>
      <c r="E5" s="67" t="s">
        <v>334</v>
      </c>
      <c r="F5" s="72">
        <v>36000</v>
      </c>
      <c r="G5" s="102">
        <v>3000</v>
      </c>
      <c r="H5" s="263" t="s">
        <v>776</v>
      </c>
      <c r="I5" s="261" t="s">
        <v>777</v>
      </c>
      <c r="J5" s="110" t="s">
        <v>780</v>
      </c>
    </row>
    <row r="6" spans="1:10" ht="15.75">
      <c r="A6" s="71" t="s">
        <v>506</v>
      </c>
      <c r="B6" s="71" t="s">
        <v>773</v>
      </c>
      <c r="C6" s="67" t="s">
        <v>779</v>
      </c>
      <c r="D6" s="67" t="s">
        <v>333</v>
      </c>
      <c r="E6" s="67" t="s">
        <v>380</v>
      </c>
      <c r="F6" s="72">
        <v>34800</v>
      </c>
      <c r="G6" s="102">
        <v>2900</v>
      </c>
      <c r="H6" s="264"/>
      <c r="I6" s="261"/>
      <c r="J6" s="110" t="s">
        <v>780</v>
      </c>
    </row>
    <row r="7" spans="1:10" ht="15.75">
      <c r="A7" s="71" t="s">
        <v>506</v>
      </c>
      <c r="B7" s="71" t="s">
        <v>773</v>
      </c>
      <c r="C7" s="67" t="s">
        <v>774</v>
      </c>
      <c r="D7" s="67" t="s">
        <v>333</v>
      </c>
      <c r="E7" s="67" t="s">
        <v>365</v>
      </c>
      <c r="F7" s="72">
        <v>36000</v>
      </c>
      <c r="G7" s="102">
        <v>3000</v>
      </c>
      <c r="H7" s="264"/>
      <c r="I7" s="261"/>
      <c r="J7" s="110" t="s">
        <v>778</v>
      </c>
    </row>
    <row r="8" spans="1:10" ht="15.75">
      <c r="A8" s="71" t="s">
        <v>506</v>
      </c>
      <c r="B8" s="71" t="s">
        <v>750</v>
      </c>
      <c r="C8" s="67" t="s">
        <v>753</v>
      </c>
      <c r="D8" s="67" t="s">
        <v>473</v>
      </c>
      <c r="E8" s="67" t="s">
        <v>689</v>
      </c>
      <c r="F8" s="73">
        <v>12000</v>
      </c>
      <c r="G8" s="107">
        <v>1000</v>
      </c>
      <c r="H8" s="259" t="s">
        <v>748</v>
      </c>
      <c r="I8" s="261" t="s">
        <v>749</v>
      </c>
      <c r="J8" s="110"/>
    </row>
    <row r="9" spans="1:10" ht="15.75">
      <c r="A9" s="71" t="s">
        <v>506</v>
      </c>
      <c r="B9" s="71" t="s">
        <v>750</v>
      </c>
      <c r="C9" s="67" t="s">
        <v>751</v>
      </c>
      <c r="D9" s="67" t="s">
        <v>473</v>
      </c>
      <c r="E9" s="67" t="s">
        <v>686</v>
      </c>
      <c r="F9" s="73">
        <v>12000</v>
      </c>
      <c r="G9" s="107">
        <v>1000</v>
      </c>
      <c r="H9" s="260"/>
      <c r="I9" s="262"/>
      <c r="J9" s="110"/>
    </row>
    <row r="10" spans="1:10" ht="15.75">
      <c r="A10" s="71" t="s">
        <v>506</v>
      </c>
      <c r="B10" s="71" t="s">
        <v>743</v>
      </c>
      <c r="C10" s="67" t="s">
        <v>744</v>
      </c>
      <c r="D10" s="67" t="s">
        <v>473</v>
      </c>
      <c r="E10" s="67" t="s">
        <v>474</v>
      </c>
      <c r="F10" s="73">
        <v>14400</v>
      </c>
      <c r="G10" s="107">
        <v>1200</v>
      </c>
      <c r="H10" s="260"/>
      <c r="I10" s="262"/>
      <c r="J10" s="110"/>
    </row>
    <row r="11" spans="1:10" ht="15.75">
      <c r="A11" s="71" t="s">
        <v>506</v>
      </c>
      <c r="B11" s="71" t="s">
        <v>764</v>
      </c>
      <c r="C11" s="67" t="s">
        <v>772</v>
      </c>
      <c r="D11" s="67" t="s">
        <v>333</v>
      </c>
      <c r="E11" s="67" t="s">
        <v>334</v>
      </c>
      <c r="F11" s="83">
        <v>9600</v>
      </c>
      <c r="G11" s="108">
        <v>800</v>
      </c>
      <c r="H11" s="259" t="s">
        <v>768</v>
      </c>
      <c r="I11" s="261" t="s">
        <v>769</v>
      </c>
      <c r="J11" s="110"/>
    </row>
    <row r="12" spans="1:10" ht="15.75">
      <c r="A12" s="71" t="s">
        <v>506</v>
      </c>
      <c r="B12" s="71" t="s">
        <v>764</v>
      </c>
      <c r="C12" s="67" t="s">
        <v>770</v>
      </c>
      <c r="D12" s="67" t="s">
        <v>333</v>
      </c>
      <c r="E12" s="67" t="s">
        <v>380</v>
      </c>
      <c r="F12" s="83">
        <v>9600</v>
      </c>
      <c r="G12" s="108">
        <v>800</v>
      </c>
      <c r="H12" s="260"/>
      <c r="I12" s="262"/>
      <c r="J12" s="110"/>
    </row>
    <row r="13" spans="1:10" ht="15.75">
      <c r="A13" s="71" t="s">
        <v>506</v>
      </c>
      <c r="B13" s="71" t="s">
        <v>764</v>
      </c>
      <c r="C13" s="67" t="s">
        <v>765</v>
      </c>
      <c r="D13" s="67" t="s">
        <v>333</v>
      </c>
      <c r="E13" s="67" t="s">
        <v>365</v>
      </c>
      <c r="F13" s="83">
        <v>9600</v>
      </c>
      <c r="G13" s="108">
        <v>800</v>
      </c>
      <c r="H13" s="260"/>
      <c r="I13" s="262"/>
      <c r="J13" s="110"/>
    </row>
  </sheetData>
  <mergeCells count="8">
    <mergeCell ref="H8:H10"/>
    <mergeCell ref="I8:I10"/>
    <mergeCell ref="H11:H13"/>
    <mergeCell ref="I11:I13"/>
    <mergeCell ref="H2:H4"/>
    <mergeCell ref="I2:I4"/>
    <mergeCell ref="H5:H7"/>
    <mergeCell ref="I5:I7"/>
  </mergeCells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EAD75-F25A-4BF8-873C-F864E20ECC2C}">
  <sheetPr codeName="工作表11"/>
  <dimension ref="A1:J13"/>
  <sheetViews>
    <sheetView topLeftCell="D2" zoomScale="106" zoomScaleNormal="70" workbookViewId="0">
      <selection activeCell="A2" sqref="A2:J13"/>
    </sheetView>
  </sheetViews>
  <sheetFormatPr defaultRowHeight="12.75"/>
  <cols>
    <col min="1" max="1" width="20.42578125" bestFit="1" customWidth="1"/>
    <col min="2" max="2" width="38.28515625" bestFit="1" customWidth="1"/>
    <col min="3" max="3" width="25.140625" bestFit="1" customWidth="1"/>
    <col min="5" max="5" width="6.7109375" bestFit="1" customWidth="1"/>
    <col min="6" max="6" width="15.5703125" bestFit="1" customWidth="1"/>
    <col min="7" max="7" width="21.5703125" customWidth="1"/>
    <col min="8" max="8" width="32.7109375" bestFit="1" customWidth="1"/>
    <col min="9" max="9" width="29.7109375" bestFit="1" customWidth="1"/>
    <col min="10" max="10" width="6.140625" bestFit="1" customWidth="1"/>
  </cols>
  <sheetData>
    <row r="1" spans="1:10" ht="148.5">
      <c r="A1" s="68" t="s">
        <v>233</v>
      </c>
      <c r="B1" s="68" t="s">
        <v>1219</v>
      </c>
      <c r="C1" s="68" t="s">
        <v>1220</v>
      </c>
      <c r="D1" s="68" t="s">
        <v>1221</v>
      </c>
      <c r="E1" s="69" t="s">
        <v>239</v>
      </c>
      <c r="F1" s="70" t="s">
        <v>1222</v>
      </c>
      <c r="G1" s="70" t="s">
        <v>1230</v>
      </c>
      <c r="H1" s="70" t="s">
        <v>1266</v>
      </c>
      <c r="I1" s="70" t="s">
        <v>1225</v>
      </c>
      <c r="J1" s="70" t="s">
        <v>1226</v>
      </c>
    </row>
    <row r="2" spans="1:10" ht="16.5">
      <c r="A2" s="71" t="s">
        <v>631</v>
      </c>
      <c r="B2" s="71" t="s">
        <v>633</v>
      </c>
      <c r="C2" s="67" t="s">
        <v>642</v>
      </c>
      <c r="D2" s="67" t="s">
        <v>333</v>
      </c>
      <c r="E2" s="67" t="s">
        <v>334</v>
      </c>
      <c r="F2" s="72">
        <v>27943.97</v>
      </c>
      <c r="G2" s="113">
        <v>2328.66</v>
      </c>
      <c r="H2" s="265" t="s">
        <v>1267</v>
      </c>
      <c r="I2" s="90" t="s">
        <v>638</v>
      </c>
      <c r="J2" s="74"/>
    </row>
    <row r="3" spans="1:10" ht="16.5">
      <c r="A3" s="71" t="s">
        <v>631</v>
      </c>
      <c r="B3" s="71" t="s">
        <v>633</v>
      </c>
      <c r="C3" s="67" t="s">
        <v>641</v>
      </c>
      <c r="D3" s="67" t="s">
        <v>333</v>
      </c>
      <c r="E3" s="67" t="s">
        <v>380</v>
      </c>
      <c r="F3" s="72">
        <v>27943.97</v>
      </c>
      <c r="G3" s="113">
        <v>2272.69</v>
      </c>
      <c r="H3" s="266"/>
      <c r="I3" s="90" t="s">
        <v>638</v>
      </c>
      <c r="J3" s="74"/>
    </row>
    <row r="4" spans="1:10" ht="16.5">
      <c r="A4" s="71" t="s">
        <v>631</v>
      </c>
      <c r="B4" s="71" t="s">
        <v>633</v>
      </c>
      <c r="C4" s="67" t="s">
        <v>634</v>
      </c>
      <c r="D4" s="67" t="s">
        <v>333</v>
      </c>
      <c r="E4" s="67" t="s">
        <v>365</v>
      </c>
      <c r="F4" s="72">
        <f t="shared" ref="F4:F13" si="0">G4*12</f>
        <v>27888.120000000003</v>
      </c>
      <c r="G4" s="113">
        <v>2324.0100000000002</v>
      </c>
      <c r="H4" s="266"/>
      <c r="I4" s="90" t="s">
        <v>638</v>
      </c>
      <c r="J4" s="74"/>
    </row>
    <row r="5" spans="1:10" ht="16.5">
      <c r="A5" s="71" t="s">
        <v>631</v>
      </c>
      <c r="B5" s="71" t="s">
        <v>643</v>
      </c>
      <c r="C5" s="67" t="s">
        <v>648</v>
      </c>
      <c r="D5" s="67" t="s">
        <v>333</v>
      </c>
      <c r="E5" s="67" t="s">
        <v>334</v>
      </c>
      <c r="F5" s="72">
        <f t="shared" si="0"/>
        <v>78700.200000000012</v>
      </c>
      <c r="G5" s="113">
        <v>6558.35</v>
      </c>
      <c r="H5" s="265" t="s">
        <v>1268</v>
      </c>
      <c r="I5" s="90" t="s">
        <v>638</v>
      </c>
      <c r="J5" s="74"/>
    </row>
    <row r="6" spans="1:10" ht="16.5">
      <c r="A6" s="71" t="s">
        <v>631</v>
      </c>
      <c r="B6" s="71" t="s">
        <v>643</v>
      </c>
      <c r="C6" s="67" t="s">
        <v>647</v>
      </c>
      <c r="D6" s="67" t="s">
        <v>333</v>
      </c>
      <c r="E6" s="67" t="s">
        <v>380</v>
      </c>
      <c r="F6" s="72">
        <f t="shared" si="0"/>
        <v>61212.12</v>
      </c>
      <c r="G6" s="113">
        <v>5101.01</v>
      </c>
      <c r="H6" s="266"/>
      <c r="I6" s="90" t="s">
        <v>638</v>
      </c>
      <c r="J6" s="74"/>
    </row>
    <row r="7" spans="1:10" ht="16.5">
      <c r="A7" s="71" t="s">
        <v>631</v>
      </c>
      <c r="B7" s="71" t="s">
        <v>643</v>
      </c>
      <c r="C7" s="67" t="s">
        <v>644</v>
      </c>
      <c r="D7" s="67" t="s">
        <v>333</v>
      </c>
      <c r="E7" s="67" t="s">
        <v>365</v>
      </c>
      <c r="F7" s="72">
        <f t="shared" si="0"/>
        <v>72210.36</v>
      </c>
      <c r="G7" s="113">
        <v>6017.53</v>
      </c>
      <c r="H7" s="266"/>
      <c r="I7" s="90" t="s">
        <v>638</v>
      </c>
      <c r="J7" s="74"/>
    </row>
    <row r="8" spans="1:10" ht="16.5">
      <c r="A8" s="71" t="s">
        <v>631</v>
      </c>
      <c r="B8" s="71" t="s">
        <v>649</v>
      </c>
      <c r="C8" s="67" t="s">
        <v>655</v>
      </c>
      <c r="D8" s="67" t="s">
        <v>333</v>
      </c>
      <c r="E8" s="67" t="s">
        <v>334</v>
      </c>
      <c r="F8" s="72">
        <f t="shared" si="0"/>
        <v>23525.4</v>
      </c>
      <c r="G8" s="113">
        <v>1960.45</v>
      </c>
      <c r="H8" s="265" t="s">
        <v>1269</v>
      </c>
      <c r="I8" s="90" t="s">
        <v>638</v>
      </c>
      <c r="J8" s="74"/>
    </row>
    <row r="9" spans="1:10" ht="16.5">
      <c r="A9" s="71" t="s">
        <v>631</v>
      </c>
      <c r="B9" s="71" t="s">
        <v>649</v>
      </c>
      <c r="C9" s="67" t="s">
        <v>654</v>
      </c>
      <c r="D9" s="67" t="s">
        <v>333</v>
      </c>
      <c r="E9" s="67" t="s">
        <v>380</v>
      </c>
      <c r="F9" s="72">
        <f t="shared" si="0"/>
        <v>30179.040000000001</v>
      </c>
      <c r="G9" s="113">
        <v>2514.92</v>
      </c>
      <c r="H9" s="266"/>
      <c r="I9" s="90" t="s">
        <v>638</v>
      </c>
      <c r="J9" s="74"/>
    </row>
    <row r="10" spans="1:10" ht="16.5">
      <c r="A10" s="71" t="s">
        <v>631</v>
      </c>
      <c r="B10" s="71" t="s">
        <v>649</v>
      </c>
      <c r="C10" s="67" t="s">
        <v>650</v>
      </c>
      <c r="D10" s="67" t="s">
        <v>333</v>
      </c>
      <c r="E10" s="67" t="s">
        <v>365</v>
      </c>
      <c r="F10" s="72">
        <f t="shared" si="0"/>
        <v>34740.479999999996</v>
      </c>
      <c r="G10" s="113">
        <v>2895.04</v>
      </c>
      <c r="H10" s="266"/>
      <c r="I10" s="90" t="s">
        <v>638</v>
      </c>
      <c r="J10" s="74"/>
    </row>
    <row r="11" spans="1:10" ht="16.5">
      <c r="A11" s="71" t="s">
        <v>631</v>
      </c>
      <c r="B11" s="71" t="s">
        <v>656</v>
      </c>
      <c r="C11" s="67" t="s">
        <v>660</v>
      </c>
      <c r="D11" s="67" t="s">
        <v>333</v>
      </c>
      <c r="E11" s="67" t="s">
        <v>334</v>
      </c>
      <c r="F11" s="72">
        <f t="shared" si="0"/>
        <v>51002.28</v>
      </c>
      <c r="G11" s="113">
        <v>4250.1899999999996</v>
      </c>
      <c r="H11" s="265" t="s">
        <v>1270</v>
      </c>
      <c r="I11" s="90" t="s">
        <v>638</v>
      </c>
      <c r="J11" s="74"/>
    </row>
    <row r="12" spans="1:10" ht="16.5">
      <c r="A12" s="71" t="s">
        <v>631</v>
      </c>
      <c r="B12" s="71" t="s">
        <v>656</v>
      </c>
      <c r="C12" s="67" t="s">
        <v>659</v>
      </c>
      <c r="D12" s="67" t="s">
        <v>333</v>
      </c>
      <c r="E12" s="67" t="s">
        <v>380</v>
      </c>
      <c r="F12" s="72">
        <f t="shared" si="0"/>
        <v>63754.080000000002</v>
      </c>
      <c r="G12" s="113">
        <v>5312.84</v>
      </c>
      <c r="H12" s="266"/>
      <c r="I12" s="90" t="s">
        <v>638</v>
      </c>
      <c r="J12" s="74"/>
    </row>
    <row r="13" spans="1:10" ht="16.5">
      <c r="A13" s="71" t="s">
        <v>631</v>
      </c>
      <c r="B13" s="71" t="s">
        <v>656</v>
      </c>
      <c r="C13" s="67" t="s">
        <v>657</v>
      </c>
      <c r="D13" s="67" t="s">
        <v>333</v>
      </c>
      <c r="E13" s="67" t="s">
        <v>365</v>
      </c>
      <c r="F13" s="72">
        <f t="shared" si="0"/>
        <v>50844.959999999999</v>
      </c>
      <c r="G13" s="113">
        <v>4237.08</v>
      </c>
      <c r="H13" s="266"/>
      <c r="I13" s="90" t="s">
        <v>638</v>
      </c>
      <c r="J13" s="74"/>
    </row>
  </sheetData>
  <mergeCells count="4">
    <mergeCell ref="H2:H4"/>
    <mergeCell ref="H5:H7"/>
    <mergeCell ref="H8:H10"/>
    <mergeCell ref="H11:H13"/>
  </mergeCells>
  <phoneticPr fontId="11" type="noConversion"/>
  <hyperlinks>
    <hyperlink ref="I2" r:id="rId1" xr:uid="{CF201832-CB58-4236-AE1D-209831A4E312}"/>
    <hyperlink ref="I3" r:id="rId2" xr:uid="{71640057-0EEB-42E1-8F4E-5D5FE0C6B34F}"/>
    <hyperlink ref="I4" r:id="rId3" xr:uid="{502CA4D2-B5AF-45CD-8D2D-E934BA6897E3}"/>
    <hyperlink ref="I5" r:id="rId4" xr:uid="{64D258F6-55EB-468C-B187-44B54AC825A2}"/>
    <hyperlink ref="I6" r:id="rId5" xr:uid="{E88C723A-7AE3-4501-8C17-5D3FD9F717E1}"/>
    <hyperlink ref="I7" r:id="rId6" xr:uid="{DFC4FAAA-DF92-45A3-9159-5EF1F173F715}"/>
    <hyperlink ref="I8" r:id="rId7" xr:uid="{8702D97F-DA27-4F65-8F59-B16145945D74}"/>
    <hyperlink ref="I9" r:id="rId8" xr:uid="{E47E3B36-873B-42F7-BAE5-D1E54EFC6333}"/>
    <hyperlink ref="I10" r:id="rId9" xr:uid="{B74EF740-47BD-447E-82B8-57B19ECAAFE8}"/>
    <hyperlink ref="I11" r:id="rId10" xr:uid="{B3665191-5BF0-46D5-A42E-08B87770A2B8}"/>
    <hyperlink ref="I12" r:id="rId11" xr:uid="{4126CB5F-BF1E-4A28-BBD7-122988216314}"/>
    <hyperlink ref="I13" r:id="rId12" xr:uid="{5BAC81FC-23F7-4F3F-9F30-888EC81D042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8B64-98A4-4CCF-B69E-541B0F3AA61A}">
  <sheetPr codeName="工作表12"/>
  <dimension ref="A1:J17"/>
  <sheetViews>
    <sheetView topLeftCell="C5" zoomScale="69" workbookViewId="0">
      <selection activeCell="G23" sqref="G23"/>
    </sheetView>
  </sheetViews>
  <sheetFormatPr defaultRowHeight="12.75"/>
  <cols>
    <col min="2" max="2" width="17.42578125" customWidth="1"/>
    <col min="3" max="3" width="31.42578125" customWidth="1"/>
    <col min="4" max="4" width="27.5703125" customWidth="1"/>
    <col min="6" max="6" width="37.140625" style="111" customWidth="1"/>
    <col min="7" max="7" width="27.5703125" style="111" customWidth="1"/>
    <col min="8" max="8" width="51.7109375" customWidth="1"/>
    <col min="9" max="9" width="48.42578125" customWidth="1"/>
    <col min="10" max="10" width="62.140625" bestFit="1" customWidth="1"/>
  </cols>
  <sheetData>
    <row r="1" spans="1:10" ht="99">
      <c r="A1" s="68" t="s">
        <v>233</v>
      </c>
      <c r="B1" s="68" t="s">
        <v>1219</v>
      </c>
      <c r="C1" s="68" t="s">
        <v>1220</v>
      </c>
      <c r="D1" s="68" t="s">
        <v>1221</v>
      </c>
      <c r="E1" s="69" t="s">
        <v>239</v>
      </c>
      <c r="F1" s="70" t="s">
        <v>1222</v>
      </c>
      <c r="G1" s="70" t="s">
        <v>1230</v>
      </c>
      <c r="H1" s="70" t="s">
        <v>1231</v>
      </c>
      <c r="I1" s="86" t="s">
        <v>1225</v>
      </c>
      <c r="J1" s="70" t="s">
        <v>1226</v>
      </c>
    </row>
    <row r="2" spans="1:10" ht="78.75">
      <c r="A2" s="71" t="s">
        <v>1271</v>
      </c>
      <c r="B2" s="71" t="s">
        <v>692</v>
      </c>
      <c r="C2" s="67" t="s">
        <v>702</v>
      </c>
      <c r="D2" s="67" t="s">
        <v>333</v>
      </c>
      <c r="E2" s="67" t="s">
        <v>334</v>
      </c>
      <c r="F2" s="114">
        <v>27000</v>
      </c>
      <c r="G2" s="114">
        <v>2250</v>
      </c>
      <c r="H2" s="85" t="s">
        <v>697</v>
      </c>
      <c r="I2" s="87" t="s">
        <v>1272</v>
      </c>
      <c r="J2" s="74" t="s">
        <v>703</v>
      </c>
    </row>
    <row r="3" spans="1:10" ht="78.75">
      <c r="A3" s="71" t="s">
        <v>1271</v>
      </c>
      <c r="B3" s="71" t="s">
        <v>692</v>
      </c>
      <c r="C3" s="67" t="s">
        <v>700</v>
      </c>
      <c r="D3" s="67" t="s">
        <v>333</v>
      </c>
      <c r="E3" s="67" t="s">
        <v>380</v>
      </c>
      <c r="F3" s="114">
        <v>27000</v>
      </c>
      <c r="G3" s="114">
        <v>2250</v>
      </c>
      <c r="H3" s="85" t="s">
        <v>697</v>
      </c>
      <c r="I3" s="87" t="s">
        <v>1272</v>
      </c>
      <c r="J3" s="74" t="s">
        <v>701</v>
      </c>
    </row>
    <row r="4" spans="1:10" ht="78.75">
      <c r="A4" s="71" t="s">
        <v>1271</v>
      </c>
      <c r="B4" s="71" t="s">
        <v>692</v>
      </c>
      <c r="C4" s="67" t="s">
        <v>693</v>
      </c>
      <c r="D4" s="67" t="s">
        <v>333</v>
      </c>
      <c r="E4" s="67" t="s">
        <v>365</v>
      </c>
      <c r="F4" s="114">
        <v>20000</v>
      </c>
      <c r="G4" s="114">
        <v>1800</v>
      </c>
      <c r="H4" s="85" t="s">
        <v>697</v>
      </c>
      <c r="I4" s="87" t="s">
        <v>1272</v>
      </c>
      <c r="J4" s="74" t="s">
        <v>699</v>
      </c>
    </row>
    <row r="5" spans="1:10" ht="78.75">
      <c r="A5" s="71" t="s">
        <v>1271</v>
      </c>
      <c r="B5" s="71" t="s">
        <v>705</v>
      </c>
      <c r="C5" s="67" t="s">
        <v>711</v>
      </c>
      <c r="D5" s="67" t="s">
        <v>333</v>
      </c>
      <c r="E5" s="67" t="s">
        <v>334</v>
      </c>
      <c r="F5" s="113">
        <v>0</v>
      </c>
      <c r="G5" s="113">
        <v>0</v>
      </c>
      <c r="H5" s="88" t="s">
        <v>709</v>
      </c>
      <c r="I5" s="89" t="s">
        <v>710</v>
      </c>
      <c r="J5" s="67"/>
    </row>
    <row r="6" spans="1:10" ht="78.75">
      <c r="A6" s="71" t="s">
        <v>1271</v>
      </c>
      <c r="B6" s="71" t="s">
        <v>705</v>
      </c>
      <c r="C6" s="67" t="s">
        <v>706</v>
      </c>
      <c r="D6" s="67" t="s">
        <v>333</v>
      </c>
      <c r="E6" s="67" t="s">
        <v>380</v>
      </c>
      <c r="F6" s="113">
        <v>0</v>
      </c>
      <c r="G6" s="113">
        <v>0</v>
      </c>
      <c r="H6" s="88" t="s">
        <v>709</v>
      </c>
      <c r="I6" s="89" t="s">
        <v>710</v>
      </c>
      <c r="J6" s="67"/>
    </row>
    <row r="7" spans="1:10" ht="78.75">
      <c r="A7" s="71" t="s">
        <v>1271</v>
      </c>
      <c r="B7" s="71" t="s">
        <v>712</v>
      </c>
      <c r="C7" s="67" t="s">
        <v>716</v>
      </c>
      <c r="D7" s="67" t="s">
        <v>333</v>
      </c>
      <c r="E7" s="67" t="s">
        <v>334</v>
      </c>
      <c r="F7" s="113">
        <v>930.43</v>
      </c>
      <c r="G7" s="113">
        <v>400</v>
      </c>
      <c r="H7" s="88" t="s">
        <v>709</v>
      </c>
      <c r="I7" s="89" t="s">
        <v>714</v>
      </c>
      <c r="J7" s="67"/>
    </row>
    <row r="8" spans="1:10" ht="78.75">
      <c r="A8" s="71" t="s">
        <v>1271</v>
      </c>
      <c r="B8" s="71" t="s">
        <v>712</v>
      </c>
      <c r="C8" s="67" t="s">
        <v>715</v>
      </c>
      <c r="D8" s="67" t="s">
        <v>333</v>
      </c>
      <c r="E8" s="67" t="s">
        <v>380</v>
      </c>
      <c r="F8" s="113">
        <v>0</v>
      </c>
      <c r="G8" s="113">
        <v>0</v>
      </c>
      <c r="H8" s="88" t="s">
        <v>709</v>
      </c>
      <c r="I8" s="89" t="s">
        <v>714</v>
      </c>
      <c r="J8" s="67"/>
    </row>
    <row r="9" spans="1:10" ht="78.75">
      <c r="A9" s="71" t="s">
        <v>1271</v>
      </c>
      <c r="B9" s="71" t="s">
        <v>712</v>
      </c>
      <c r="C9" s="67" t="s">
        <v>713</v>
      </c>
      <c r="D9" s="67" t="s">
        <v>333</v>
      </c>
      <c r="E9" s="67" t="s">
        <v>365</v>
      </c>
      <c r="F9" s="113">
        <v>0</v>
      </c>
      <c r="G9" s="113">
        <v>0</v>
      </c>
      <c r="H9" s="88" t="s">
        <v>709</v>
      </c>
      <c r="I9" s="89" t="s">
        <v>714</v>
      </c>
      <c r="J9" s="67"/>
    </row>
    <row r="10" spans="1:10" ht="78.75">
      <c r="A10" s="71" t="s">
        <v>1271</v>
      </c>
      <c r="B10" s="71" t="s">
        <v>717</v>
      </c>
      <c r="C10" s="67" t="s">
        <v>726</v>
      </c>
      <c r="D10" s="67" t="s">
        <v>333</v>
      </c>
      <c r="E10" s="67" t="s">
        <v>334</v>
      </c>
      <c r="F10" s="113">
        <v>27507.98</v>
      </c>
      <c r="G10" s="113">
        <v>2292.33</v>
      </c>
      <c r="H10" s="85" t="s">
        <v>721</v>
      </c>
      <c r="I10" s="89" t="s">
        <v>1273</v>
      </c>
      <c r="J10" s="74" t="s">
        <v>723</v>
      </c>
    </row>
    <row r="11" spans="1:10" ht="78.75">
      <c r="A11" s="71" t="s">
        <v>1271</v>
      </c>
      <c r="B11" s="71" t="s">
        <v>717</v>
      </c>
      <c r="C11" s="67" t="s">
        <v>724</v>
      </c>
      <c r="D11" s="67" t="s">
        <v>333</v>
      </c>
      <c r="E11" s="67" t="s">
        <v>380</v>
      </c>
      <c r="F11" s="113">
        <v>34937.61</v>
      </c>
      <c r="G11" s="113">
        <v>2911.47</v>
      </c>
      <c r="H11" s="85" t="s">
        <v>721</v>
      </c>
      <c r="I11" s="89" t="s">
        <v>1273</v>
      </c>
      <c r="J11" s="74" t="s">
        <v>723</v>
      </c>
    </row>
    <row r="12" spans="1:10" ht="78.75">
      <c r="A12" s="71" t="s">
        <v>1271</v>
      </c>
      <c r="B12" s="71" t="s">
        <v>717</v>
      </c>
      <c r="C12" s="67" t="s">
        <v>718</v>
      </c>
      <c r="D12" s="67" t="s">
        <v>333</v>
      </c>
      <c r="E12" s="67" t="s">
        <v>365</v>
      </c>
      <c r="F12" s="113">
        <v>63950.38</v>
      </c>
      <c r="G12" s="113">
        <v>5329.2</v>
      </c>
      <c r="H12" s="85" t="s">
        <v>721</v>
      </c>
      <c r="I12" s="89" t="s">
        <v>1273</v>
      </c>
      <c r="J12" s="74" t="s">
        <v>723</v>
      </c>
    </row>
    <row r="13" spans="1:10" ht="78.75">
      <c r="A13" s="71" t="s">
        <v>1271</v>
      </c>
      <c r="B13" s="71" t="s">
        <v>728</v>
      </c>
      <c r="C13" s="67" t="s">
        <v>736</v>
      </c>
      <c r="D13" s="67" t="s">
        <v>333</v>
      </c>
      <c r="E13" s="67" t="s">
        <v>334</v>
      </c>
      <c r="F13" s="113">
        <v>838.36</v>
      </c>
      <c r="G13" s="113">
        <v>69.86</v>
      </c>
      <c r="H13" s="88" t="s">
        <v>733</v>
      </c>
      <c r="I13" s="76" t="s">
        <v>1274</v>
      </c>
      <c r="J13" s="74" t="s">
        <v>723</v>
      </c>
    </row>
    <row r="14" spans="1:10" ht="78.75">
      <c r="A14" s="71" t="s">
        <v>1271</v>
      </c>
      <c r="B14" s="71" t="s">
        <v>728</v>
      </c>
      <c r="C14" s="67" t="s">
        <v>729</v>
      </c>
      <c r="D14" s="67" t="s">
        <v>333</v>
      </c>
      <c r="E14" s="67" t="s">
        <v>365</v>
      </c>
      <c r="F14" s="113">
        <v>16119.7</v>
      </c>
      <c r="G14" s="114">
        <v>1600</v>
      </c>
      <c r="H14" s="88" t="s">
        <v>733</v>
      </c>
      <c r="I14" s="76" t="s">
        <v>1274</v>
      </c>
      <c r="J14" s="67" t="s">
        <v>1275</v>
      </c>
    </row>
    <row r="15" spans="1:10" ht="78.75">
      <c r="A15" s="71" t="s">
        <v>1271</v>
      </c>
      <c r="B15" s="71" t="s">
        <v>737</v>
      </c>
      <c r="C15" s="67" t="s">
        <v>1276</v>
      </c>
      <c r="D15" s="67" t="s">
        <v>333</v>
      </c>
      <c r="E15" s="67" t="s">
        <v>334</v>
      </c>
      <c r="F15" s="113">
        <v>17029.28</v>
      </c>
      <c r="G15" s="113">
        <v>1419.11</v>
      </c>
      <c r="H15" s="88" t="s">
        <v>740</v>
      </c>
      <c r="I15" s="76" t="s">
        <v>1274</v>
      </c>
      <c r="J15" s="74" t="s">
        <v>723</v>
      </c>
    </row>
    <row r="16" spans="1:10" ht="78.75">
      <c r="A16" s="71" t="s">
        <v>1271</v>
      </c>
      <c r="B16" s="71" t="s">
        <v>737</v>
      </c>
      <c r="C16" s="67" t="s">
        <v>1277</v>
      </c>
      <c r="D16" s="67" t="s">
        <v>333</v>
      </c>
      <c r="E16" s="67" t="s">
        <v>380</v>
      </c>
      <c r="F16" s="113">
        <v>12686.85</v>
      </c>
      <c r="G16" s="113">
        <v>1057.24</v>
      </c>
      <c r="H16" s="88" t="s">
        <v>740</v>
      </c>
      <c r="I16" s="76" t="s">
        <v>1274</v>
      </c>
      <c r="J16" s="74" t="s">
        <v>723</v>
      </c>
    </row>
    <row r="17" spans="1:10" ht="78.75">
      <c r="A17" s="71" t="s">
        <v>1271</v>
      </c>
      <c r="B17" s="71" t="s">
        <v>737</v>
      </c>
      <c r="C17" s="67" t="s">
        <v>1278</v>
      </c>
      <c r="D17" s="67" t="s">
        <v>333</v>
      </c>
      <c r="E17" s="67" t="s">
        <v>365</v>
      </c>
      <c r="F17" s="113">
        <v>41390.839999999997</v>
      </c>
      <c r="G17" s="113">
        <v>3449.24</v>
      </c>
      <c r="H17" s="88" t="s">
        <v>740</v>
      </c>
      <c r="I17" s="76" t="s">
        <v>1274</v>
      </c>
      <c r="J17" s="74" t="s">
        <v>723</v>
      </c>
    </row>
  </sheetData>
  <phoneticPr fontId="11" type="noConversion"/>
  <hyperlinks>
    <hyperlink ref="I5" r:id="rId1" xr:uid="{806A670A-1604-489F-9C95-48EED52B0678}"/>
    <hyperlink ref="I6" r:id="rId2" xr:uid="{2B51FC10-112A-4344-921D-2426810DCC3A}"/>
    <hyperlink ref="I7" r:id="rId3" xr:uid="{A99D3F8B-BC73-466D-A2A7-F768EE2B4735}"/>
    <hyperlink ref="I8" r:id="rId4" xr:uid="{0CD85E3B-6F03-4DB4-82C9-B5E5462802C2}"/>
    <hyperlink ref="I9" r:id="rId5" xr:uid="{30E34A65-2E46-459F-BE28-9046211255E6}"/>
    <hyperlink ref="I10" r:id="rId6" xr:uid="{3BAB45CE-995B-4CF1-8C5F-EF018E9ED121}"/>
    <hyperlink ref="I11" r:id="rId7" xr:uid="{42D6A09F-F108-4123-A488-07869CD3A435}"/>
    <hyperlink ref="I12" r:id="rId8" xr:uid="{83DCB455-4FCE-4608-AC08-CD552403E2BC}"/>
    <hyperlink ref="I2" r:id="rId9" xr:uid="{25CCFE8C-C337-4652-9BDA-70A8C426CC86}"/>
    <hyperlink ref="I3" r:id="rId10" xr:uid="{1EC353C1-10B2-478C-AA7C-BACB026DE086}"/>
    <hyperlink ref="I4" r:id="rId11" xr:uid="{F6BFBE77-D64A-4DB2-B47C-745B53D2764D}"/>
    <hyperlink ref="I13" r:id="rId12" display="NT89412@cathaybk.com.tw;unachan@cathaybk.com.tw;NT98894@cathaybk.com.tw;NT98970@cathaybk.com.tw" xr:uid="{37A39A91-D7C8-48C5-84A9-7AE624E393D4}"/>
    <hyperlink ref="I15" r:id="rId13" display="NT89412@cathaybk.com.tw;unachan@cathaybk.com.tw;NT98894@cathaybk.com.tw;NT98970@cathaybk.com.tw" xr:uid="{F1CB3400-2180-4EF9-9304-F3D755F128E0}"/>
    <hyperlink ref="I17" r:id="rId14" display="NT89412@cathaybk.com.tw;unachan@cathaybk.com.tw;NT98894@cathaybk.com.tw;NT98970@cathaybk.com.tw" xr:uid="{E56DF02C-A2E0-423A-8263-8D8DD669623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8360-692D-4834-A3FA-6A58F49F0E5A}">
  <sheetPr codeName="工作表13"/>
  <dimension ref="A1:J7"/>
  <sheetViews>
    <sheetView zoomScale="81" workbookViewId="0">
      <selection activeCell="B6" sqref="B6"/>
    </sheetView>
  </sheetViews>
  <sheetFormatPr defaultRowHeight="12.75"/>
  <cols>
    <col min="1" max="1" width="12.5703125" customWidth="1"/>
    <col min="2" max="2" width="34.5703125" customWidth="1"/>
    <col min="3" max="3" width="22.5703125" customWidth="1"/>
    <col min="6" max="6" width="28.7109375" customWidth="1"/>
    <col min="7" max="7" width="36.140625" customWidth="1"/>
    <col min="8" max="8" width="33.140625" customWidth="1"/>
    <col min="9" max="9" width="19.28515625" customWidth="1"/>
    <col min="10" max="10" width="31.28515625" customWidth="1"/>
  </cols>
  <sheetData>
    <row r="1" spans="1:10" ht="148.5">
      <c r="A1" s="68" t="s">
        <v>233</v>
      </c>
      <c r="B1" s="68" t="s">
        <v>1219</v>
      </c>
      <c r="C1" s="68" t="s">
        <v>1220</v>
      </c>
      <c r="D1" s="68" t="s">
        <v>1221</v>
      </c>
      <c r="E1" s="69" t="s">
        <v>239</v>
      </c>
      <c r="F1" s="70" t="s">
        <v>1222</v>
      </c>
      <c r="G1" s="70" t="s">
        <v>1230</v>
      </c>
      <c r="H1" s="70" t="s">
        <v>1266</v>
      </c>
      <c r="I1" s="70" t="s">
        <v>1262</v>
      </c>
      <c r="J1" s="70" t="s">
        <v>1226</v>
      </c>
    </row>
    <row r="2" spans="1:10" ht="63.75">
      <c r="A2" s="112" t="s">
        <v>690</v>
      </c>
      <c r="B2" s="112" t="s">
        <v>663</v>
      </c>
      <c r="C2" s="101" t="s">
        <v>675</v>
      </c>
      <c r="D2" s="101" t="s">
        <v>333</v>
      </c>
      <c r="E2" s="101" t="s">
        <v>334</v>
      </c>
      <c r="F2" s="101">
        <v>6000</v>
      </c>
      <c r="G2" s="101">
        <v>500</v>
      </c>
      <c r="H2" s="74" t="s">
        <v>667</v>
      </c>
      <c r="I2" s="78" t="s">
        <v>668</v>
      </c>
      <c r="J2" s="67"/>
    </row>
    <row r="3" spans="1:10" ht="63.75">
      <c r="A3" s="112" t="s">
        <v>690</v>
      </c>
      <c r="B3" s="112" t="s">
        <v>663</v>
      </c>
      <c r="C3" s="101" t="s">
        <v>1279</v>
      </c>
      <c r="D3" s="101" t="s">
        <v>333</v>
      </c>
      <c r="E3" s="101" t="s">
        <v>343</v>
      </c>
      <c r="F3" s="101">
        <v>6000</v>
      </c>
      <c r="G3" s="101">
        <v>500</v>
      </c>
      <c r="H3" s="74" t="s">
        <v>667</v>
      </c>
      <c r="I3" s="78" t="s">
        <v>668</v>
      </c>
      <c r="J3" s="67" t="s">
        <v>671</v>
      </c>
    </row>
    <row r="4" spans="1:10" ht="63.75">
      <c r="A4" s="112" t="s">
        <v>690</v>
      </c>
      <c r="B4" s="112" t="s">
        <v>663</v>
      </c>
      <c r="C4" s="101" t="s">
        <v>1280</v>
      </c>
      <c r="D4" s="101" t="s">
        <v>333</v>
      </c>
      <c r="E4" s="101" t="s">
        <v>357</v>
      </c>
      <c r="F4" s="101">
        <v>6000</v>
      </c>
      <c r="G4" s="101">
        <v>500</v>
      </c>
      <c r="H4" s="74" t="s">
        <v>667</v>
      </c>
      <c r="I4" s="78" t="s">
        <v>668</v>
      </c>
      <c r="J4" s="67" t="s">
        <v>671</v>
      </c>
    </row>
    <row r="5" spans="1:10" ht="60">
      <c r="A5" s="112" t="s">
        <v>690</v>
      </c>
      <c r="B5" s="112" t="s">
        <v>678</v>
      </c>
      <c r="C5" s="101" t="s">
        <v>688</v>
      </c>
      <c r="D5" s="101" t="s">
        <v>473</v>
      </c>
      <c r="E5" s="101" t="s">
        <v>689</v>
      </c>
      <c r="F5" s="81">
        <v>16364</v>
      </c>
      <c r="G5" s="81">
        <f>ROUND(F5/12,0)</f>
        <v>1364</v>
      </c>
      <c r="H5" s="267" t="s">
        <v>1281</v>
      </c>
      <c r="I5" s="76" t="s">
        <v>1282</v>
      </c>
      <c r="J5" s="74" t="s">
        <v>684</v>
      </c>
    </row>
    <row r="6" spans="1:10" ht="60">
      <c r="A6" s="112" t="s">
        <v>690</v>
      </c>
      <c r="B6" s="112" t="s">
        <v>678</v>
      </c>
      <c r="C6" s="101" t="s">
        <v>685</v>
      </c>
      <c r="D6" s="101" t="s">
        <v>473</v>
      </c>
      <c r="E6" s="101" t="s">
        <v>686</v>
      </c>
      <c r="F6" s="81">
        <v>18356</v>
      </c>
      <c r="G6" s="81">
        <f t="shared" ref="G6:G7" si="0">ROUND(F6/12,0)</f>
        <v>1530</v>
      </c>
      <c r="H6" s="267"/>
      <c r="I6" s="76" t="s">
        <v>1282</v>
      </c>
      <c r="J6" s="74" t="s">
        <v>684</v>
      </c>
    </row>
    <row r="7" spans="1:10" ht="60">
      <c r="A7" s="112" t="s">
        <v>690</v>
      </c>
      <c r="B7" s="112" t="s">
        <v>678</v>
      </c>
      <c r="C7" s="101" t="s">
        <v>679</v>
      </c>
      <c r="D7" s="101" t="s">
        <v>473</v>
      </c>
      <c r="E7" s="101" t="s">
        <v>474</v>
      </c>
      <c r="F7" s="81">
        <v>20780</v>
      </c>
      <c r="G7" s="81">
        <f t="shared" si="0"/>
        <v>1732</v>
      </c>
      <c r="H7" s="267"/>
      <c r="I7" s="76" t="s">
        <v>1282</v>
      </c>
      <c r="J7" s="74" t="s">
        <v>684</v>
      </c>
    </row>
  </sheetData>
  <mergeCells count="1">
    <mergeCell ref="H5:H7"/>
  </mergeCells>
  <phoneticPr fontId="11" type="noConversion"/>
  <hyperlinks>
    <hyperlink ref="I2" r:id="rId1" xr:uid="{031F59BD-922A-4905-AC1E-D479345E1A6A}"/>
    <hyperlink ref="I3" r:id="rId2" xr:uid="{660A0730-5E4F-4EA8-B727-AAAA84C8DA09}"/>
    <hyperlink ref="I4" r:id="rId3" xr:uid="{08FFCE27-203F-40C6-872C-61EFC88E22A9}"/>
    <hyperlink ref="I5" r:id="rId4" xr:uid="{34BA98DB-0A08-4E23-B183-CFF79C0304AB}"/>
    <hyperlink ref="I6" r:id="rId5" xr:uid="{976E5311-0328-4DAE-9F1D-C53DCE5D6FC2}"/>
    <hyperlink ref="I7" r:id="rId6" xr:uid="{FBA7CD16-9A23-499B-8C8A-0F40466BE9CC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F6B7-D8BA-46D1-AD74-0FAFCC83FB92}">
  <sheetPr codeName="工作表14"/>
  <dimension ref="A1:J9"/>
  <sheetViews>
    <sheetView zoomScale="70" zoomScaleNormal="70" workbookViewId="0">
      <selection activeCell="C2" sqref="C2"/>
    </sheetView>
  </sheetViews>
  <sheetFormatPr defaultRowHeight="12.75"/>
  <cols>
    <col min="1" max="1" width="18" bestFit="1" customWidth="1"/>
    <col min="2" max="2" width="29.28515625" bestFit="1" customWidth="1"/>
    <col min="3" max="3" width="23.42578125" bestFit="1" customWidth="1"/>
    <col min="6" max="6" width="25.85546875" customWidth="1"/>
    <col min="7" max="7" width="20.7109375" customWidth="1"/>
    <col min="8" max="8" width="35.28515625" customWidth="1"/>
    <col min="9" max="9" width="31.5703125" customWidth="1"/>
  </cols>
  <sheetData>
    <row r="1" spans="1:10" ht="115.5">
      <c r="A1" s="68" t="s">
        <v>233</v>
      </c>
      <c r="B1" s="68" t="s">
        <v>1219</v>
      </c>
      <c r="C1" s="68" t="s">
        <v>1220</v>
      </c>
      <c r="D1" s="68" t="s">
        <v>1221</v>
      </c>
      <c r="E1" s="69" t="s">
        <v>239</v>
      </c>
      <c r="F1" s="70" t="s">
        <v>1222</v>
      </c>
      <c r="G1" s="70" t="s">
        <v>1230</v>
      </c>
      <c r="H1" s="70" t="s">
        <v>1231</v>
      </c>
      <c r="I1" s="70" t="s">
        <v>1262</v>
      </c>
      <c r="J1" s="70" t="s">
        <v>1226</v>
      </c>
    </row>
    <row r="2" spans="1:10" ht="31.5">
      <c r="A2" s="71" t="s">
        <v>539</v>
      </c>
      <c r="B2" s="71" t="s">
        <v>541</v>
      </c>
      <c r="C2" s="67" t="s">
        <v>542</v>
      </c>
      <c r="D2" s="67" t="s">
        <v>333</v>
      </c>
      <c r="E2" s="67" t="s">
        <v>334</v>
      </c>
      <c r="F2" s="67"/>
      <c r="G2" s="67"/>
      <c r="H2" s="67"/>
      <c r="I2" s="91" t="s">
        <v>1283</v>
      </c>
      <c r="J2" s="67"/>
    </row>
    <row r="3" spans="1:10" ht="63.75">
      <c r="A3" s="71" t="s">
        <v>539</v>
      </c>
      <c r="B3" s="71" t="s">
        <v>549</v>
      </c>
      <c r="C3" s="67" t="s">
        <v>550</v>
      </c>
      <c r="D3" s="67" t="s">
        <v>333</v>
      </c>
      <c r="E3" s="67" t="s">
        <v>334</v>
      </c>
      <c r="F3" s="72">
        <v>2400</v>
      </c>
      <c r="G3" s="72">
        <v>200</v>
      </c>
      <c r="H3" s="92" t="s">
        <v>555</v>
      </c>
      <c r="I3" s="76" t="s">
        <v>556</v>
      </c>
      <c r="J3" s="67"/>
    </row>
    <row r="4" spans="1:10" ht="63.75">
      <c r="A4" s="71" t="s">
        <v>539</v>
      </c>
      <c r="B4" s="71" t="s">
        <v>564</v>
      </c>
      <c r="C4" s="67" t="s">
        <v>566</v>
      </c>
      <c r="D4" s="67" t="s">
        <v>333</v>
      </c>
      <c r="E4" s="67" t="s">
        <v>334</v>
      </c>
      <c r="F4" s="72">
        <v>2640</v>
      </c>
      <c r="G4" s="72">
        <v>220</v>
      </c>
      <c r="H4" s="92" t="s">
        <v>562</v>
      </c>
      <c r="I4" s="91" t="s">
        <v>1284</v>
      </c>
      <c r="J4" s="67"/>
    </row>
    <row r="5" spans="1:10" ht="63.75">
      <c r="A5" s="93" t="s">
        <v>539</v>
      </c>
      <c r="B5" s="93" t="s">
        <v>564</v>
      </c>
      <c r="C5" s="94" t="s">
        <v>565</v>
      </c>
      <c r="D5" s="94" t="s">
        <v>333</v>
      </c>
      <c r="E5" s="94" t="s">
        <v>380</v>
      </c>
      <c r="F5" s="95">
        <v>1800</v>
      </c>
      <c r="G5" s="95">
        <v>150</v>
      </c>
      <c r="H5" s="96" t="s">
        <v>562</v>
      </c>
      <c r="I5" s="97" t="s">
        <v>1284</v>
      </c>
      <c r="J5" s="94"/>
    </row>
    <row r="6" spans="1:10" ht="63.75">
      <c r="A6" s="71" t="s">
        <v>539</v>
      </c>
      <c r="B6" s="71" t="s">
        <v>564</v>
      </c>
      <c r="C6" s="67" t="s">
        <v>1285</v>
      </c>
      <c r="D6" s="67" t="s">
        <v>333</v>
      </c>
      <c r="E6" s="67" t="s">
        <v>365</v>
      </c>
      <c r="F6" s="72">
        <v>3840</v>
      </c>
      <c r="G6" s="72">
        <v>320</v>
      </c>
      <c r="H6" s="92" t="s">
        <v>562</v>
      </c>
      <c r="I6" s="91" t="s">
        <v>1284</v>
      </c>
      <c r="J6" s="67"/>
    </row>
    <row r="7" spans="1:10" ht="63.75">
      <c r="A7" s="71" t="s">
        <v>568</v>
      </c>
      <c r="B7" s="67"/>
      <c r="C7" s="67" t="s">
        <v>575</v>
      </c>
      <c r="D7" s="67" t="s">
        <v>333</v>
      </c>
      <c r="E7" s="67" t="s">
        <v>490</v>
      </c>
      <c r="F7" s="72">
        <v>9600</v>
      </c>
      <c r="G7" s="72">
        <v>800</v>
      </c>
      <c r="H7" s="92" t="s">
        <v>578</v>
      </c>
      <c r="I7" s="91" t="s">
        <v>556</v>
      </c>
      <c r="J7" s="67"/>
    </row>
    <row r="8" spans="1:10" ht="15.75">
      <c r="A8" s="71" t="s">
        <v>568</v>
      </c>
      <c r="B8" s="67"/>
      <c r="C8" s="67" t="s">
        <v>572</v>
      </c>
      <c r="D8" s="67"/>
      <c r="E8" s="67" t="s">
        <v>489</v>
      </c>
      <c r="F8" s="67"/>
      <c r="G8" s="67"/>
      <c r="H8" s="67"/>
      <c r="I8" s="91"/>
      <c r="J8" s="67"/>
    </row>
    <row r="9" spans="1:10" ht="15.75">
      <c r="A9" s="71" t="s">
        <v>568</v>
      </c>
      <c r="B9" s="67"/>
      <c r="C9" s="67" t="s">
        <v>569</v>
      </c>
      <c r="D9" s="67"/>
      <c r="E9" s="67" t="s">
        <v>489</v>
      </c>
      <c r="F9" s="67"/>
      <c r="G9" s="67"/>
      <c r="H9" s="67"/>
      <c r="I9" s="91"/>
      <c r="J9" s="67"/>
    </row>
  </sheetData>
  <phoneticPr fontId="11" type="noConversion"/>
  <hyperlinks>
    <hyperlink ref="I3" r:id="rId1" xr:uid="{60A7DC61-57C6-4911-BCB1-563BFADAD7D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5B08-142C-46F1-BB7D-B19FF0C203E2}">
  <sheetPr codeName="工作表15"/>
  <dimension ref="A1:J5"/>
  <sheetViews>
    <sheetView topLeftCell="A4" zoomScale="70" zoomScaleNormal="70" workbookViewId="0">
      <selection activeCell="A2" sqref="A2:J5"/>
    </sheetView>
  </sheetViews>
  <sheetFormatPr defaultRowHeight="12.75"/>
  <cols>
    <col min="1" max="1" width="13.140625" bestFit="1" customWidth="1"/>
    <col min="2" max="2" width="12.140625" bestFit="1" customWidth="1"/>
    <col min="3" max="3" width="23.42578125" bestFit="1" customWidth="1"/>
    <col min="4" max="4" width="8.42578125" bestFit="1" customWidth="1"/>
    <col min="5" max="5" width="6.7109375" bestFit="1" customWidth="1"/>
    <col min="6" max="6" width="26.42578125" customWidth="1"/>
    <col min="7" max="7" width="19.85546875" customWidth="1"/>
    <col min="8" max="8" width="38" customWidth="1"/>
    <col min="9" max="9" width="28.42578125" customWidth="1"/>
    <col min="10" max="10" width="8.5703125" bestFit="1" customWidth="1"/>
  </cols>
  <sheetData>
    <row r="1" spans="1:10" ht="115.5">
      <c r="A1" s="68" t="s">
        <v>233</v>
      </c>
      <c r="B1" s="68" t="s">
        <v>1219</v>
      </c>
      <c r="C1" s="68" t="s">
        <v>1220</v>
      </c>
      <c r="D1" s="68" t="s">
        <v>1221</v>
      </c>
      <c r="E1" s="69" t="s">
        <v>239</v>
      </c>
      <c r="F1" s="70" t="s">
        <v>1286</v>
      </c>
      <c r="G1" s="70" t="s">
        <v>1230</v>
      </c>
      <c r="H1" s="70" t="s">
        <v>1231</v>
      </c>
      <c r="I1" s="70" t="s">
        <v>1225</v>
      </c>
      <c r="J1" s="70" t="s">
        <v>1226</v>
      </c>
    </row>
    <row r="2" spans="1:10" ht="127.5">
      <c r="A2" s="71" t="s">
        <v>519</v>
      </c>
      <c r="B2" s="71" t="s">
        <v>521</v>
      </c>
      <c r="C2" s="67" t="s">
        <v>532</v>
      </c>
      <c r="D2" s="67" t="s">
        <v>333</v>
      </c>
      <c r="E2" s="67" t="s">
        <v>334</v>
      </c>
      <c r="F2" s="72">
        <v>12000</v>
      </c>
      <c r="G2" s="72">
        <v>1000</v>
      </c>
      <c r="H2" s="92" t="s">
        <v>526</v>
      </c>
      <c r="I2" s="74" t="s">
        <v>527</v>
      </c>
      <c r="J2" s="74" t="s">
        <v>529</v>
      </c>
    </row>
    <row r="3" spans="1:10" ht="127.5">
      <c r="A3" s="71" t="s">
        <v>519</v>
      </c>
      <c r="B3" s="71" t="s">
        <v>521</v>
      </c>
      <c r="C3" s="67" t="s">
        <v>530</v>
      </c>
      <c r="D3" s="67" t="s">
        <v>333</v>
      </c>
      <c r="E3" s="67" t="s">
        <v>380</v>
      </c>
      <c r="F3" s="72">
        <v>12000</v>
      </c>
      <c r="G3" s="72">
        <v>1000</v>
      </c>
      <c r="H3" s="92" t="s">
        <v>526</v>
      </c>
      <c r="I3" s="74" t="s">
        <v>527</v>
      </c>
      <c r="J3" s="74" t="s">
        <v>529</v>
      </c>
    </row>
    <row r="4" spans="1:10" ht="127.5">
      <c r="A4" s="71" t="s">
        <v>519</v>
      </c>
      <c r="B4" s="71" t="s">
        <v>521</v>
      </c>
      <c r="C4" s="67" t="s">
        <v>522</v>
      </c>
      <c r="D4" s="67" t="s">
        <v>333</v>
      </c>
      <c r="E4" s="67" t="s">
        <v>365</v>
      </c>
      <c r="F4" s="72">
        <v>12000</v>
      </c>
      <c r="G4" s="72">
        <v>1000</v>
      </c>
      <c r="H4" s="92" t="s">
        <v>526</v>
      </c>
      <c r="I4" s="74" t="s">
        <v>527</v>
      </c>
      <c r="J4" s="74" t="s">
        <v>529</v>
      </c>
    </row>
    <row r="5" spans="1:10" ht="127.5">
      <c r="A5" s="71" t="s">
        <v>1287</v>
      </c>
      <c r="B5" s="67"/>
      <c r="C5" s="67" t="s">
        <v>1288</v>
      </c>
      <c r="D5" s="67"/>
      <c r="E5" s="67" t="s">
        <v>489</v>
      </c>
      <c r="F5" s="72">
        <v>12000</v>
      </c>
      <c r="G5" s="72">
        <v>1000</v>
      </c>
      <c r="H5" s="92" t="s">
        <v>526</v>
      </c>
      <c r="I5" s="74" t="s">
        <v>527</v>
      </c>
      <c r="J5" s="74" t="s">
        <v>529</v>
      </c>
    </row>
  </sheetData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212D-AC4F-47D6-9B67-EEF7AD28B38F}">
  <sheetPr codeName="工作表16"/>
  <dimension ref="A1:J7"/>
  <sheetViews>
    <sheetView topLeftCell="B1" zoomScale="70" zoomScaleNormal="70" workbookViewId="0">
      <selection activeCell="B2" sqref="B2:J7"/>
    </sheetView>
  </sheetViews>
  <sheetFormatPr defaultRowHeight="12.75"/>
  <cols>
    <col min="1" max="1" width="18" bestFit="1" customWidth="1"/>
    <col min="2" max="2" width="20.42578125" bestFit="1" customWidth="1"/>
    <col min="3" max="3" width="25" bestFit="1" customWidth="1"/>
    <col min="5" max="5" width="19.7109375" customWidth="1"/>
    <col min="6" max="7" width="29.140625" customWidth="1"/>
    <col min="8" max="8" width="28.85546875" bestFit="1" customWidth="1"/>
    <col min="9" max="9" width="29.140625" customWidth="1"/>
    <col min="10" max="10" width="114" bestFit="1" customWidth="1"/>
    <col min="11" max="11" width="29.140625" customWidth="1"/>
  </cols>
  <sheetData>
    <row r="1" spans="1:10" ht="115.5">
      <c r="A1" s="68" t="s">
        <v>233</v>
      </c>
      <c r="B1" s="68" t="s">
        <v>1219</v>
      </c>
      <c r="C1" s="68" t="s">
        <v>1220</v>
      </c>
      <c r="D1" s="68" t="s">
        <v>1221</v>
      </c>
      <c r="E1" s="69" t="s">
        <v>239</v>
      </c>
      <c r="F1" s="70" t="s">
        <v>1222</v>
      </c>
      <c r="G1" s="70" t="s">
        <v>1230</v>
      </c>
      <c r="H1" s="70" t="s">
        <v>1261</v>
      </c>
      <c r="I1" s="70" t="s">
        <v>1262</v>
      </c>
      <c r="J1" s="70" t="s">
        <v>1226</v>
      </c>
    </row>
    <row r="2" spans="1:10" ht="15.75">
      <c r="A2" s="71" t="s">
        <v>974</v>
      </c>
      <c r="B2" s="71" t="s">
        <v>494</v>
      </c>
      <c r="C2" s="67" t="s">
        <v>503</v>
      </c>
      <c r="D2" s="67" t="s">
        <v>333</v>
      </c>
      <c r="E2" s="67" t="s">
        <v>334</v>
      </c>
      <c r="F2" s="72">
        <v>1080</v>
      </c>
      <c r="G2" s="72">
        <v>90</v>
      </c>
      <c r="H2" s="268" t="s">
        <v>1289</v>
      </c>
      <c r="I2" s="270" t="s">
        <v>500</v>
      </c>
      <c r="J2" s="271" t="s">
        <v>1290</v>
      </c>
    </row>
    <row r="3" spans="1:10" ht="15.75">
      <c r="A3" s="71" t="s">
        <v>974</v>
      </c>
      <c r="B3" s="71" t="s">
        <v>494</v>
      </c>
      <c r="C3" s="67" t="s">
        <v>502</v>
      </c>
      <c r="D3" s="67" t="s">
        <v>333</v>
      </c>
      <c r="E3" s="67" t="s">
        <v>380</v>
      </c>
      <c r="F3" s="72">
        <v>480</v>
      </c>
      <c r="G3" s="72">
        <v>40</v>
      </c>
      <c r="H3" s="269"/>
      <c r="I3" s="270"/>
      <c r="J3" s="272"/>
    </row>
    <row r="4" spans="1:10" ht="15.75">
      <c r="A4" s="71" t="s">
        <v>974</v>
      </c>
      <c r="B4" s="71" t="s">
        <v>494</v>
      </c>
      <c r="C4" s="67" t="s">
        <v>495</v>
      </c>
      <c r="D4" s="67" t="s">
        <v>333</v>
      </c>
      <c r="E4" s="67" t="s">
        <v>365</v>
      </c>
      <c r="F4" s="72">
        <v>480</v>
      </c>
      <c r="G4" s="72">
        <v>40</v>
      </c>
      <c r="H4" s="269"/>
      <c r="I4" s="270"/>
      <c r="J4" s="272"/>
    </row>
    <row r="5" spans="1:10" ht="15.75">
      <c r="A5" s="71" t="s">
        <v>974</v>
      </c>
      <c r="B5" s="71" t="s">
        <v>508</v>
      </c>
      <c r="C5" s="67" t="s">
        <v>1291</v>
      </c>
      <c r="D5" s="67" t="s">
        <v>333</v>
      </c>
      <c r="E5" s="67" t="s">
        <v>334</v>
      </c>
      <c r="F5" s="72">
        <v>4400</v>
      </c>
      <c r="G5" s="72">
        <v>400</v>
      </c>
      <c r="H5" s="268" t="s">
        <v>1292</v>
      </c>
      <c r="I5" s="270" t="s">
        <v>514</v>
      </c>
      <c r="J5" s="67"/>
    </row>
    <row r="6" spans="1:10" ht="15.75">
      <c r="A6" s="71" t="s">
        <v>974</v>
      </c>
      <c r="B6" s="71" t="s">
        <v>508</v>
      </c>
      <c r="C6" s="67"/>
      <c r="D6" s="67" t="s">
        <v>333</v>
      </c>
      <c r="E6" s="67" t="s">
        <v>380</v>
      </c>
      <c r="F6" s="72">
        <v>3500</v>
      </c>
      <c r="G6" s="72">
        <v>500</v>
      </c>
      <c r="H6" s="269"/>
      <c r="I6" s="270"/>
      <c r="J6" s="67" t="s">
        <v>516</v>
      </c>
    </row>
    <row r="7" spans="1:10" ht="15.75">
      <c r="A7" s="71" t="s">
        <v>974</v>
      </c>
      <c r="B7" s="71" t="s">
        <v>508</v>
      </c>
      <c r="C7" s="67"/>
      <c r="D7" s="67" t="s">
        <v>333</v>
      </c>
      <c r="E7" s="67" t="s">
        <v>365</v>
      </c>
      <c r="F7" s="72">
        <v>3000</v>
      </c>
      <c r="G7" s="72">
        <v>500</v>
      </c>
      <c r="H7" s="269"/>
      <c r="I7" s="270"/>
      <c r="J7" s="67" t="s">
        <v>518</v>
      </c>
    </row>
  </sheetData>
  <mergeCells count="5">
    <mergeCell ref="H5:H7"/>
    <mergeCell ref="I5:I7"/>
    <mergeCell ref="H2:H4"/>
    <mergeCell ref="I2:I4"/>
    <mergeCell ref="J2:J4"/>
  </mergeCells>
  <phoneticPr fontId="11" type="noConversion"/>
  <hyperlinks>
    <hyperlink ref="I2:I4" r:id="rId1" display="UXDSection-gp@cathaybk.com.tw" xr:uid="{4705DC66-7BB1-4EDD-A2F8-2260307D5138}"/>
    <hyperlink ref="I5:I7" r:id="rId2" display="GAICPISD_ADM@cathaybk.com.tw" xr:uid="{12B7B7A5-B162-419C-AA5A-815F42AF8AB4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69E0-AFF7-4985-8EA5-9B7C1DD09B3A}">
  <sheetPr codeName="工作表17"/>
  <dimension ref="A1:J14"/>
  <sheetViews>
    <sheetView zoomScale="70" zoomScaleNormal="70" workbookViewId="0">
      <selection activeCell="F9" sqref="F9"/>
    </sheetView>
  </sheetViews>
  <sheetFormatPr defaultRowHeight="12.75"/>
  <cols>
    <col min="1" max="1" width="23.42578125" bestFit="1" customWidth="1"/>
    <col min="2" max="2" width="33.5703125" bestFit="1" customWidth="1"/>
    <col min="3" max="3" width="28.5703125" bestFit="1" customWidth="1"/>
    <col min="4" max="4" width="8" bestFit="1" customWidth="1"/>
    <col min="5" max="5" width="6.42578125" bestFit="1" customWidth="1"/>
    <col min="6" max="11" width="50.28515625" customWidth="1"/>
  </cols>
  <sheetData>
    <row r="1" spans="1:10" ht="99">
      <c r="A1" s="68" t="s">
        <v>233</v>
      </c>
      <c r="B1" s="68" t="s">
        <v>1219</v>
      </c>
      <c r="C1" s="68" t="s">
        <v>1220</v>
      </c>
      <c r="D1" s="68" t="s">
        <v>1221</v>
      </c>
      <c r="E1" s="69" t="s">
        <v>239</v>
      </c>
      <c r="F1" s="70" t="s">
        <v>1222</v>
      </c>
      <c r="G1" s="70" t="s">
        <v>1223</v>
      </c>
      <c r="H1" s="70" t="s">
        <v>1261</v>
      </c>
      <c r="I1" s="70" t="s">
        <v>1262</v>
      </c>
      <c r="J1" s="70" t="s">
        <v>1226</v>
      </c>
    </row>
    <row r="2" spans="1:10" ht="51">
      <c r="A2" s="112" t="s">
        <v>427</v>
      </c>
      <c r="B2" s="112" t="s">
        <v>439</v>
      </c>
      <c r="C2" s="101" t="s">
        <v>448</v>
      </c>
      <c r="D2" s="101" t="s">
        <v>333</v>
      </c>
      <c r="E2" s="101" t="s">
        <v>334</v>
      </c>
      <c r="F2" s="101">
        <v>34446</v>
      </c>
      <c r="G2" s="101">
        <f>F2/12</f>
        <v>2870.5</v>
      </c>
      <c r="H2" s="74" t="s">
        <v>435</v>
      </c>
      <c r="I2" s="78" t="s">
        <v>444</v>
      </c>
      <c r="J2" s="67"/>
    </row>
    <row r="3" spans="1:10" ht="51">
      <c r="A3" s="112" t="s">
        <v>427</v>
      </c>
      <c r="B3" s="112" t="s">
        <v>439</v>
      </c>
      <c r="C3" s="101" t="s">
        <v>446</v>
      </c>
      <c r="D3" s="101" t="s">
        <v>333</v>
      </c>
      <c r="E3" s="101" t="s">
        <v>380</v>
      </c>
      <c r="F3" s="101">
        <f>267719*12/33</f>
        <v>97352.363636363632</v>
      </c>
      <c r="G3" s="101">
        <f>F3/12</f>
        <v>8112.6969696969691</v>
      </c>
      <c r="H3" s="74" t="s">
        <v>435</v>
      </c>
      <c r="I3" s="78" t="s">
        <v>444</v>
      </c>
      <c r="J3" s="67"/>
    </row>
    <row r="4" spans="1:10" ht="51">
      <c r="A4" s="112" t="s">
        <v>427</v>
      </c>
      <c r="B4" s="112" t="s">
        <v>439</v>
      </c>
      <c r="C4" s="101" t="s">
        <v>440</v>
      </c>
      <c r="D4" s="101" t="s">
        <v>333</v>
      </c>
      <c r="E4" s="101" t="s">
        <v>365</v>
      </c>
      <c r="F4" s="101">
        <f>171387*12/33</f>
        <v>62322.545454545456</v>
      </c>
      <c r="G4" s="101">
        <f>F4/12</f>
        <v>5193.545454545455</v>
      </c>
      <c r="H4" s="74" t="s">
        <v>443</v>
      </c>
      <c r="I4" s="78" t="s">
        <v>444</v>
      </c>
      <c r="J4" s="67"/>
    </row>
    <row r="5" spans="1:10" ht="15.75">
      <c r="A5" s="112" t="s">
        <v>427</v>
      </c>
      <c r="B5" s="112" t="s">
        <v>467</v>
      </c>
      <c r="C5" s="101" t="s">
        <v>468</v>
      </c>
      <c r="D5" s="101" t="s">
        <v>333</v>
      </c>
      <c r="E5" s="101" t="s">
        <v>334</v>
      </c>
      <c r="F5" s="101" t="s">
        <v>1293</v>
      </c>
      <c r="G5" s="101" t="s">
        <v>1293</v>
      </c>
      <c r="H5" s="67"/>
      <c r="I5" s="67"/>
      <c r="J5" s="67"/>
    </row>
    <row r="6" spans="1:10" ht="51">
      <c r="A6" s="112" t="s">
        <v>427</v>
      </c>
      <c r="B6" s="112" t="s">
        <v>471</v>
      </c>
      <c r="C6" s="101" t="s">
        <v>481</v>
      </c>
      <c r="D6" s="101" t="s">
        <v>333</v>
      </c>
      <c r="E6" s="101" t="s">
        <v>334</v>
      </c>
      <c r="F6" s="81">
        <v>19262.939999999999</v>
      </c>
      <c r="G6" s="101">
        <v>1603.69</v>
      </c>
      <c r="H6" s="74" t="s">
        <v>477</v>
      </c>
      <c r="I6" s="78" t="s">
        <v>1294</v>
      </c>
      <c r="J6" s="67"/>
    </row>
    <row r="7" spans="1:10" ht="51">
      <c r="A7" s="112" t="s">
        <v>427</v>
      </c>
      <c r="B7" s="112" t="s">
        <v>471</v>
      </c>
      <c r="C7" s="101" t="s">
        <v>479</v>
      </c>
      <c r="D7" s="101" t="s">
        <v>333</v>
      </c>
      <c r="E7" s="101" t="s">
        <v>380</v>
      </c>
      <c r="F7" s="81">
        <v>23703.55</v>
      </c>
      <c r="G7" s="101">
        <v>1975.29</v>
      </c>
      <c r="H7" s="74" t="s">
        <v>477</v>
      </c>
      <c r="I7" s="78" t="s">
        <v>1294</v>
      </c>
      <c r="J7" s="67"/>
    </row>
    <row r="8" spans="1:10" ht="51">
      <c r="A8" s="112" t="s">
        <v>427</v>
      </c>
      <c r="B8" s="112" t="s">
        <v>471</v>
      </c>
      <c r="C8" s="101" t="s">
        <v>472</v>
      </c>
      <c r="D8" s="101" t="s">
        <v>473</v>
      </c>
      <c r="E8" s="101" t="s">
        <v>474</v>
      </c>
      <c r="F8" s="81">
        <v>31254.14</v>
      </c>
      <c r="G8" s="101">
        <v>2595.59</v>
      </c>
      <c r="H8" s="74" t="s">
        <v>477</v>
      </c>
      <c r="I8" s="98" t="s">
        <v>1294</v>
      </c>
      <c r="J8" s="67"/>
    </row>
    <row r="9" spans="1:10" ht="51">
      <c r="A9" s="112" t="s">
        <v>427</v>
      </c>
      <c r="B9" s="112" t="s">
        <v>482</v>
      </c>
      <c r="C9" s="101" t="s">
        <v>483</v>
      </c>
      <c r="D9" s="101" t="s">
        <v>333</v>
      </c>
      <c r="E9" s="101" t="s">
        <v>334</v>
      </c>
      <c r="F9" s="101">
        <v>0</v>
      </c>
      <c r="G9" s="101">
        <v>500</v>
      </c>
      <c r="H9" s="74" t="s">
        <v>435</v>
      </c>
      <c r="I9" s="78" t="s">
        <v>444</v>
      </c>
      <c r="J9" s="67" t="s">
        <v>486</v>
      </c>
    </row>
    <row r="10" spans="1:10" ht="15.75">
      <c r="A10" s="112" t="s">
        <v>427</v>
      </c>
      <c r="B10" s="101"/>
      <c r="C10" s="101" t="s">
        <v>491</v>
      </c>
      <c r="D10" s="101"/>
      <c r="E10" s="101" t="s">
        <v>489</v>
      </c>
      <c r="F10" s="80" t="s">
        <v>1295</v>
      </c>
      <c r="G10" s="101" t="s">
        <v>1296</v>
      </c>
      <c r="H10" s="67"/>
      <c r="I10" s="67" t="s">
        <v>1296</v>
      </c>
      <c r="J10" s="67"/>
    </row>
    <row r="11" spans="1:10" ht="51">
      <c r="A11" s="112" t="s">
        <v>427</v>
      </c>
      <c r="B11" s="112" t="s">
        <v>1297</v>
      </c>
      <c r="C11" s="101" t="s">
        <v>430</v>
      </c>
      <c r="D11" s="101"/>
      <c r="E11" s="101" t="s">
        <v>490</v>
      </c>
      <c r="F11" s="101" t="s">
        <v>1298</v>
      </c>
      <c r="G11" s="101">
        <v>1531</v>
      </c>
      <c r="H11" s="74" t="s">
        <v>435</v>
      </c>
      <c r="I11" s="78" t="s">
        <v>436</v>
      </c>
      <c r="J11" s="67"/>
    </row>
    <row r="12" spans="1:10" ht="15.75">
      <c r="A12" s="112" t="s">
        <v>427</v>
      </c>
      <c r="B12" s="101"/>
      <c r="C12" s="101" t="s">
        <v>487</v>
      </c>
      <c r="D12" s="101"/>
      <c r="E12" s="101" t="s">
        <v>489</v>
      </c>
      <c r="F12" s="80" t="s">
        <v>1295</v>
      </c>
      <c r="G12" s="101" t="s">
        <v>1296</v>
      </c>
      <c r="H12" s="74"/>
      <c r="I12" s="67" t="s">
        <v>1296</v>
      </c>
      <c r="J12" s="67"/>
    </row>
    <row r="13" spans="1:10" ht="51">
      <c r="A13" s="112" t="s">
        <v>427</v>
      </c>
      <c r="B13" s="112" t="s">
        <v>1299</v>
      </c>
      <c r="C13" s="101" t="s">
        <v>461</v>
      </c>
      <c r="D13" s="101" t="s">
        <v>31</v>
      </c>
      <c r="E13" s="101" t="s">
        <v>309</v>
      </c>
      <c r="F13" s="81">
        <v>9492</v>
      </c>
      <c r="G13" s="81">
        <v>1356</v>
      </c>
      <c r="H13" s="92" t="s">
        <v>435</v>
      </c>
      <c r="I13" s="78" t="s">
        <v>436</v>
      </c>
      <c r="J13" s="67" t="s">
        <v>1300</v>
      </c>
    </row>
    <row r="14" spans="1:10" ht="51">
      <c r="A14" s="112" t="s">
        <v>427</v>
      </c>
      <c r="B14" s="112" t="s">
        <v>1301</v>
      </c>
      <c r="C14" s="101" t="s">
        <v>461</v>
      </c>
      <c r="D14" s="101" t="s">
        <v>31</v>
      </c>
      <c r="E14" s="101" t="s">
        <v>309</v>
      </c>
      <c r="F14" s="81">
        <v>7530</v>
      </c>
      <c r="G14" s="81">
        <v>1255</v>
      </c>
      <c r="H14" s="92" t="s">
        <v>435</v>
      </c>
      <c r="I14" s="78" t="s">
        <v>436</v>
      </c>
      <c r="J14" s="67" t="s">
        <v>1302</v>
      </c>
    </row>
  </sheetData>
  <phoneticPr fontId="11" type="noConversion"/>
  <hyperlinks>
    <hyperlink ref="I2" r:id="rId1" xr:uid="{B7323413-C51C-451B-B473-B21226D6157B}"/>
    <hyperlink ref="I3" r:id="rId2" xr:uid="{41C5177A-9E22-4D35-8A7A-2FD3A66BA7E2}"/>
    <hyperlink ref="I4" r:id="rId3" xr:uid="{C00796A7-4439-4521-BB0E-D0B864DB3195}"/>
    <hyperlink ref="I11" r:id="rId4" xr:uid="{26A5AB03-E1D4-4E45-884F-A366944CC0E1}"/>
    <hyperlink ref="I6" r:id="rId5" xr:uid="{B42487E4-D8AF-4BBB-8C0A-F8AB483E49A3}"/>
    <hyperlink ref="I9" r:id="rId6" xr:uid="{F67361E0-AF7C-4E82-895E-35EC4FDF4B41}"/>
    <hyperlink ref="I7" r:id="rId7" xr:uid="{2502EBB6-AE88-4815-9E3F-8A5211A96269}"/>
    <hyperlink ref="I8" r:id="rId8" xr:uid="{A47598FB-53EC-4FF1-BC9A-B6788FCF1993}"/>
    <hyperlink ref="I13" r:id="rId9" xr:uid="{68E6334A-E543-476E-A40C-DFCA66364CE4}"/>
    <hyperlink ref="I14" r:id="rId10" xr:uid="{5FCB35FB-DFCF-4689-B5E9-4BEC8F728472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DBE8-A0B1-46C6-8FED-5BC11F3F8197}">
  <sheetPr codeName="工作表18"/>
  <dimension ref="A1:J12"/>
  <sheetViews>
    <sheetView topLeftCell="C3" zoomScale="55" zoomScaleNormal="55" workbookViewId="0">
      <selection activeCell="A2" sqref="A2:J12"/>
    </sheetView>
  </sheetViews>
  <sheetFormatPr defaultRowHeight="12.75"/>
  <cols>
    <col min="1" max="1" width="20.5703125" bestFit="1" customWidth="1"/>
    <col min="2" max="2" width="48.42578125" bestFit="1" customWidth="1"/>
    <col min="3" max="3" width="28.140625" bestFit="1" customWidth="1"/>
    <col min="5" max="5" width="6.5703125" bestFit="1" customWidth="1"/>
    <col min="6" max="6" width="38.42578125" customWidth="1"/>
    <col min="7" max="7" width="35.42578125" customWidth="1"/>
    <col min="8" max="8" width="33.140625" customWidth="1"/>
    <col min="9" max="9" width="48.5703125" customWidth="1"/>
    <col min="10" max="10" width="55.5703125" customWidth="1"/>
  </cols>
  <sheetData>
    <row r="1" spans="1:10" ht="148.5">
      <c r="A1" s="68" t="s">
        <v>233</v>
      </c>
      <c r="B1" s="68" t="s">
        <v>1219</v>
      </c>
      <c r="C1" s="68" t="s">
        <v>1220</v>
      </c>
      <c r="D1" s="68" t="s">
        <v>1221</v>
      </c>
      <c r="E1" s="69" t="s">
        <v>239</v>
      </c>
      <c r="F1" s="70" t="s">
        <v>1222</v>
      </c>
      <c r="G1" s="70" t="s">
        <v>1230</v>
      </c>
      <c r="H1" s="70" t="s">
        <v>1266</v>
      </c>
      <c r="I1" s="70" t="s">
        <v>1262</v>
      </c>
      <c r="J1" s="70" t="s">
        <v>1226</v>
      </c>
    </row>
    <row r="2" spans="1:10" ht="63.75">
      <c r="A2" s="71" t="s">
        <v>93</v>
      </c>
      <c r="B2" s="71" t="s">
        <v>370</v>
      </c>
      <c r="C2" s="67" t="s">
        <v>383</v>
      </c>
      <c r="D2" s="67" t="s">
        <v>333</v>
      </c>
      <c r="E2" s="67" t="s">
        <v>334</v>
      </c>
      <c r="F2" s="73">
        <v>20000</v>
      </c>
      <c r="G2" s="73">
        <v>1600</v>
      </c>
      <c r="H2" s="79" t="s">
        <v>381</v>
      </c>
      <c r="I2" s="67" t="s">
        <v>1303</v>
      </c>
      <c r="J2" s="67"/>
    </row>
    <row r="3" spans="1:10" ht="63.75">
      <c r="A3" s="71" t="s">
        <v>93</v>
      </c>
      <c r="B3" s="71" t="s">
        <v>370</v>
      </c>
      <c r="C3" s="67" t="s">
        <v>379</v>
      </c>
      <c r="D3" s="67" t="s">
        <v>333</v>
      </c>
      <c r="E3" s="67" t="s">
        <v>380</v>
      </c>
      <c r="F3" s="73">
        <v>55000</v>
      </c>
      <c r="G3" s="73">
        <v>4500</v>
      </c>
      <c r="H3" s="79" t="s">
        <v>381</v>
      </c>
      <c r="I3" s="67" t="s">
        <v>1303</v>
      </c>
      <c r="J3" s="67"/>
    </row>
    <row r="4" spans="1:10" ht="63.75">
      <c r="A4" s="71" t="s">
        <v>93</v>
      </c>
      <c r="B4" s="71" t="s">
        <v>370</v>
      </c>
      <c r="C4" s="67" t="s">
        <v>371</v>
      </c>
      <c r="D4" s="67" t="s">
        <v>333</v>
      </c>
      <c r="E4" s="67" t="s">
        <v>365</v>
      </c>
      <c r="F4" s="73">
        <v>70000</v>
      </c>
      <c r="G4" s="73">
        <v>5800</v>
      </c>
      <c r="H4" s="79" t="s">
        <v>381</v>
      </c>
      <c r="I4" s="67" t="s">
        <v>1303</v>
      </c>
      <c r="J4" s="67"/>
    </row>
    <row r="5" spans="1:10" ht="63.75">
      <c r="A5" s="71" t="s">
        <v>384</v>
      </c>
      <c r="B5" s="71" t="s">
        <v>385</v>
      </c>
      <c r="C5" s="67" t="s">
        <v>391</v>
      </c>
      <c r="D5" s="67" t="s">
        <v>333</v>
      </c>
      <c r="E5" s="67" t="s">
        <v>334</v>
      </c>
      <c r="F5" s="83">
        <v>200</v>
      </c>
      <c r="G5" s="83">
        <v>20</v>
      </c>
      <c r="H5" s="99" t="s">
        <v>381</v>
      </c>
      <c r="I5" s="67" t="s">
        <v>1303</v>
      </c>
      <c r="J5" s="67"/>
    </row>
    <row r="6" spans="1:10" ht="63.75">
      <c r="A6" s="71" t="s">
        <v>384</v>
      </c>
      <c r="B6" s="71" t="s">
        <v>385</v>
      </c>
      <c r="C6" s="67" t="s">
        <v>1304</v>
      </c>
      <c r="D6" s="67" t="s">
        <v>333</v>
      </c>
      <c r="E6" s="67" t="s">
        <v>343</v>
      </c>
      <c r="F6" s="83">
        <v>200</v>
      </c>
      <c r="G6" s="83">
        <v>20</v>
      </c>
      <c r="H6" s="99" t="s">
        <v>381</v>
      </c>
      <c r="I6" s="67" t="s">
        <v>1303</v>
      </c>
      <c r="J6" s="67"/>
    </row>
    <row r="7" spans="1:10" ht="63.75">
      <c r="A7" s="71" t="s">
        <v>93</v>
      </c>
      <c r="B7" s="100" t="s">
        <v>1305</v>
      </c>
      <c r="C7" s="67" t="s">
        <v>400</v>
      </c>
      <c r="D7" s="67" t="s">
        <v>333</v>
      </c>
      <c r="E7" s="67" t="s">
        <v>334</v>
      </c>
      <c r="F7" s="73">
        <v>16800</v>
      </c>
      <c r="G7" s="73">
        <v>1400</v>
      </c>
      <c r="H7" s="79" t="s">
        <v>381</v>
      </c>
      <c r="I7" s="67" t="s">
        <v>1303</v>
      </c>
      <c r="J7" s="67"/>
    </row>
    <row r="8" spans="1:10" ht="63.75">
      <c r="A8" s="71" t="s">
        <v>93</v>
      </c>
      <c r="B8" s="100" t="s">
        <v>1305</v>
      </c>
      <c r="C8" s="67" t="s">
        <v>398</v>
      </c>
      <c r="D8" s="67" t="s">
        <v>333</v>
      </c>
      <c r="E8" s="67" t="s">
        <v>380</v>
      </c>
      <c r="F8" s="73">
        <v>73200</v>
      </c>
      <c r="G8" s="73">
        <v>6100</v>
      </c>
      <c r="H8" s="79" t="s">
        <v>381</v>
      </c>
      <c r="I8" s="67" t="s">
        <v>1303</v>
      </c>
      <c r="J8" s="67"/>
    </row>
    <row r="9" spans="1:10" ht="63.75">
      <c r="A9" s="71" t="s">
        <v>93</v>
      </c>
      <c r="B9" s="100" t="s">
        <v>1305</v>
      </c>
      <c r="C9" s="67" t="s">
        <v>394</v>
      </c>
      <c r="D9" s="67" t="s">
        <v>333</v>
      </c>
      <c r="E9" s="67" t="s">
        <v>365</v>
      </c>
      <c r="F9" s="73">
        <v>108000</v>
      </c>
      <c r="G9" s="73">
        <v>9000</v>
      </c>
      <c r="H9" s="79" t="s">
        <v>381</v>
      </c>
      <c r="I9" s="67" t="s">
        <v>1303</v>
      </c>
      <c r="J9" s="67"/>
    </row>
    <row r="10" spans="1:10" ht="15.75">
      <c r="A10" s="71" t="s">
        <v>93</v>
      </c>
      <c r="B10" s="71" t="s">
        <v>403</v>
      </c>
      <c r="C10" s="67" t="s">
        <v>411</v>
      </c>
      <c r="D10" s="67" t="s">
        <v>333</v>
      </c>
      <c r="E10" s="67" t="s">
        <v>334</v>
      </c>
      <c r="F10" s="67">
        <v>0</v>
      </c>
      <c r="G10" s="67">
        <v>0</v>
      </c>
      <c r="H10" s="258" t="s">
        <v>407</v>
      </c>
      <c r="I10" s="67" t="s">
        <v>408</v>
      </c>
      <c r="J10" s="258" t="s">
        <v>409</v>
      </c>
    </row>
    <row r="11" spans="1:10" ht="15.75">
      <c r="A11" s="71" t="s">
        <v>93</v>
      </c>
      <c r="B11" s="71" t="s">
        <v>403</v>
      </c>
      <c r="C11" s="67" t="s">
        <v>410</v>
      </c>
      <c r="D11" s="67" t="s">
        <v>333</v>
      </c>
      <c r="E11" s="67" t="s">
        <v>380</v>
      </c>
      <c r="F11" s="67">
        <v>0</v>
      </c>
      <c r="G11" s="67">
        <v>0</v>
      </c>
      <c r="H11" s="258"/>
      <c r="I11" s="67" t="s">
        <v>408</v>
      </c>
      <c r="J11" s="258"/>
    </row>
    <row r="12" spans="1:10" ht="15.75">
      <c r="A12" s="71" t="s">
        <v>93</v>
      </c>
      <c r="B12" s="71" t="s">
        <v>403</v>
      </c>
      <c r="C12" s="67" t="s">
        <v>1306</v>
      </c>
      <c r="D12" s="67" t="s">
        <v>333</v>
      </c>
      <c r="E12" s="67" t="s">
        <v>365</v>
      </c>
      <c r="F12" s="67">
        <v>0</v>
      </c>
      <c r="G12" s="67">
        <v>0</v>
      </c>
      <c r="H12" s="258"/>
      <c r="I12" s="67" t="s">
        <v>408</v>
      </c>
      <c r="J12" s="258"/>
    </row>
  </sheetData>
  <mergeCells count="2">
    <mergeCell ref="H10:H12"/>
    <mergeCell ref="J10:J12"/>
  </mergeCells>
  <phoneticPr fontId="1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DE31E-01D6-433C-913E-73215A4EC1E2}">
  <sheetPr codeName="工作表19"/>
  <dimension ref="A1:J4"/>
  <sheetViews>
    <sheetView topLeftCell="B1" zoomScale="85" zoomScaleNormal="85" workbookViewId="0">
      <selection activeCell="I3" sqref="I3"/>
    </sheetView>
  </sheetViews>
  <sheetFormatPr defaultRowHeight="12.75"/>
  <cols>
    <col min="1" max="1" width="20.5703125" bestFit="1" customWidth="1"/>
    <col min="2" max="2" width="34.140625" bestFit="1" customWidth="1"/>
    <col min="3" max="3" width="26.85546875" bestFit="1" customWidth="1"/>
    <col min="4" max="4" width="8.42578125" bestFit="1" customWidth="1"/>
    <col min="5" max="5" width="6.5703125" bestFit="1" customWidth="1"/>
    <col min="6" max="6" width="27.140625" bestFit="1" customWidth="1"/>
    <col min="7" max="7" width="26.7109375" bestFit="1" customWidth="1"/>
    <col min="8" max="8" width="49.140625" bestFit="1" customWidth="1"/>
    <col min="9" max="9" width="125.85546875" bestFit="1" customWidth="1"/>
    <col min="10" max="10" width="6.140625" bestFit="1" customWidth="1"/>
  </cols>
  <sheetData>
    <row r="1" spans="1:10" ht="132">
      <c r="A1" s="68" t="s">
        <v>233</v>
      </c>
      <c r="B1" s="68" t="s">
        <v>1219</v>
      </c>
      <c r="C1" s="68" t="s">
        <v>1220</v>
      </c>
      <c r="D1" s="68" t="s">
        <v>1221</v>
      </c>
      <c r="E1" s="69" t="s">
        <v>239</v>
      </c>
      <c r="F1" s="70" t="s">
        <v>1222</v>
      </c>
      <c r="G1" s="70" t="s">
        <v>1230</v>
      </c>
      <c r="H1" s="70" t="s">
        <v>1266</v>
      </c>
      <c r="I1" s="70" t="s">
        <v>1262</v>
      </c>
      <c r="J1" s="70" t="s">
        <v>1226</v>
      </c>
    </row>
    <row r="2" spans="1:10" ht="51">
      <c r="A2" s="71" t="s">
        <v>352</v>
      </c>
      <c r="B2" s="71" t="s">
        <v>1307</v>
      </c>
      <c r="C2" s="67" t="s">
        <v>355</v>
      </c>
      <c r="D2" s="67" t="s">
        <v>333</v>
      </c>
      <c r="E2" s="67"/>
      <c r="F2" s="103">
        <v>6600</v>
      </c>
      <c r="G2" s="67">
        <v>550</v>
      </c>
      <c r="H2" s="74" t="s">
        <v>360</v>
      </c>
      <c r="I2" s="78" t="s">
        <v>1308</v>
      </c>
      <c r="J2" s="67"/>
    </row>
    <row r="3" spans="1:10" ht="51">
      <c r="A3" s="71" t="s">
        <v>352</v>
      </c>
      <c r="B3" s="71" t="s">
        <v>354</v>
      </c>
      <c r="C3" s="67" t="s">
        <v>368</v>
      </c>
      <c r="D3" s="67" t="s">
        <v>333</v>
      </c>
      <c r="E3" s="67" t="s">
        <v>334</v>
      </c>
      <c r="F3" s="103">
        <v>1200</v>
      </c>
      <c r="G3" s="67">
        <v>90</v>
      </c>
      <c r="H3" s="74" t="s">
        <v>360</v>
      </c>
      <c r="I3" s="78" t="s">
        <v>367</v>
      </c>
      <c r="J3" s="67"/>
    </row>
    <row r="4" spans="1:10" ht="51">
      <c r="A4" s="71" t="s">
        <v>352</v>
      </c>
      <c r="B4" s="71" t="s">
        <v>354</v>
      </c>
      <c r="C4" s="67" t="s">
        <v>364</v>
      </c>
      <c r="D4" s="67" t="s">
        <v>333</v>
      </c>
      <c r="E4" s="67" t="s">
        <v>365</v>
      </c>
      <c r="F4" s="103">
        <v>1200</v>
      </c>
      <c r="G4" s="67">
        <v>90</v>
      </c>
      <c r="H4" s="74" t="s">
        <v>360</v>
      </c>
      <c r="I4" s="78" t="s">
        <v>367</v>
      </c>
      <c r="J4" s="67"/>
    </row>
  </sheetData>
  <phoneticPr fontId="11" type="noConversion"/>
  <hyperlinks>
    <hyperlink ref="I2" r:id="rId1" xr:uid="{4C03ED9B-D7EF-4549-89D9-010400B34F06}"/>
    <hyperlink ref="I3" r:id="rId2" xr:uid="{3CF2D0B4-F086-4072-82F3-3247424BDE33}"/>
    <hyperlink ref="I4" r:id="rId3" xr:uid="{0214F0FE-0471-4E93-BC4F-73721270A2E7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BB8E-18DC-4CA9-8B89-66727C5DC2AE}">
  <sheetPr codeName="工作表20"/>
  <dimension ref="A1:J4"/>
  <sheetViews>
    <sheetView zoomScale="55" zoomScaleNormal="55" workbookViewId="0">
      <selection activeCell="A2" sqref="A2:J4"/>
    </sheetView>
  </sheetViews>
  <sheetFormatPr defaultRowHeight="12.75"/>
  <cols>
    <col min="1" max="1" width="25.28515625" bestFit="1" customWidth="1"/>
    <col min="2" max="2" width="13.140625" bestFit="1" customWidth="1"/>
    <col min="3" max="3" width="24.85546875" bestFit="1" customWidth="1"/>
    <col min="4" max="4" width="8.42578125" bestFit="1" customWidth="1"/>
    <col min="5" max="5" width="6.7109375" bestFit="1" customWidth="1"/>
    <col min="6" max="7" width="26.5703125" customWidth="1"/>
    <col min="8" max="8" width="26.28515625" bestFit="1" customWidth="1"/>
    <col min="9" max="9" width="29.28515625" bestFit="1" customWidth="1"/>
    <col min="10" max="10" width="6.140625" bestFit="1" customWidth="1"/>
    <col min="11" max="11" width="26.5703125" customWidth="1"/>
  </cols>
  <sheetData>
    <row r="1" spans="1:10" ht="96.6" customHeight="1">
      <c r="A1" s="68" t="s">
        <v>1309</v>
      </c>
      <c r="B1" s="68" t="s">
        <v>1310</v>
      </c>
      <c r="C1" s="68" t="s">
        <v>1311</v>
      </c>
      <c r="D1" s="68" t="s">
        <v>1221</v>
      </c>
      <c r="E1" s="69" t="s">
        <v>239</v>
      </c>
      <c r="F1" s="104" t="s">
        <v>1312</v>
      </c>
      <c r="G1" s="104" t="s">
        <v>1313</v>
      </c>
      <c r="H1" s="70" t="s">
        <v>1266</v>
      </c>
      <c r="I1" s="104" t="s">
        <v>1314</v>
      </c>
      <c r="J1" s="104" t="s">
        <v>1315</v>
      </c>
    </row>
    <row r="2" spans="1:10" ht="148.5">
      <c r="A2" s="71" t="s">
        <v>315</v>
      </c>
      <c r="B2" s="71" t="s">
        <v>317</v>
      </c>
      <c r="C2" s="67" t="s">
        <v>329</v>
      </c>
      <c r="D2" s="67" t="s">
        <v>308</v>
      </c>
      <c r="E2" s="67" t="s">
        <v>330</v>
      </c>
      <c r="F2" s="67">
        <v>4800</v>
      </c>
      <c r="G2" s="67">
        <v>400</v>
      </c>
      <c r="H2" s="105" t="s">
        <v>323</v>
      </c>
      <c r="I2" s="89" t="s">
        <v>324</v>
      </c>
      <c r="J2" s="67"/>
    </row>
    <row r="3" spans="1:10" ht="148.5">
      <c r="A3" s="71" t="s">
        <v>315</v>
      </c>
      <c r="B3" s="71" t="s">
        <v>317</v>
      </c>
      <c r="C3" s="67" t="s">
        <v>326</v>
      </c>
      <c r="D3" s="67" t="s">
        <v>308</v>
      </c>
      <c r="E3" s="67" t="s">
        <v>327</v>
      </c>
      <c r="F3" s="67">
        <v>4800</v>
      </c>
      <c r="G3" s="67">
        <v>400</v>
      </c>
      <c r="H3" s="105" t="s">
        <v>323</v>
      </c>
      <c r="I3" s="89" t="s">
        <v>324</v>
      </c>
      <c r="J3" s="67"/>
    </row>
    <row r="4" spans="1:10" ht="148.5">
      <c r="A4" s="71" t="s">
        <v>315</v>
      </c>
      <c r="B4" s="71" t="s">
        <v>317</v>
      </c>
      <c r="C4" s="67" t="s">
        <v>318</v>
      </c>
      <c r="D4" s="67" t="s">
        <v>308</v>
      </c>
      <c r="E4" s="67" t="s">
        <v>319</v>
      </c>
      <c r="F4" s="67">
        <v>7200</v>
      </c>
      <c r="G4" s="67">
        <v>600</v>
      </c>
      <c r="H4" s="105" t="s">
        <v>323</v>
      </c>
      <c r="I4" s="89" t="s">
        <v>324</v>
      </c>
      <c r="J4" s="67"/>
    </row>
  </sheetData>
  <phoneticPr fontId="11" type="noConversion"/>
  <hyperlinks>
    <hyperlink ref="I2" r:id="rId1" xr:uid="{4486440D-096E-4739-BD90-A2A38AB459C5}"/>
    <hyperlink ref="I3" r:id="rId2" xr:uid="{EB2E6A2B-C697-493C-AD3C-665DAB855CE4}"/>
    <hyperlink ref="I4" r:id="rId3" xr:uid="{EECE2CC8-4EB8-47BE-89F2-0767A34AB82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21"/>
  <dimension ref="A1:L6"/>
  <sheetViews>
    <sheetView zoomScale="140" zoomScaleNormal="140" workbookViewId="0">
      <selection activeCell="F2" sqref="F2"/>
    </sheetView>
  </sheetViews>
  <sheetFormatPr defaultColWidth="11.42578125" defaultRowHeight="12.75"/>
  <cols>
    <col min="2" max="2" width="12" bestFit="1" customWidth="1"/>
    <col min="4" max="4" width="21.140625" customWidth="1"/>
    <col min="5" max="5" width="12.42578125" customWidth="1"/>
    <col min="9" max="9" width="14" bestFit="1" customWidth="1"/>
    <col min="10" max="10" width="13.7109375" bestFit="1" customWidth="1"/>
    <col min="11" max="11" width="12.7109375" customWidth="1"/>
    <col min="12" max="12" width="45.140625" bestFit="1" customWidth="1"/>
    <col min="14" max="14" width="45.140625" bestFit="1" customWidth="1"/>
  </cols>
  <sheetData>
    <row r="1" spans="1:12">
      <c r="A1" t="s">
        <v>1316</v>
      </c>
      <c r="B1" t="s">
        <v>1317</v>
      </c>
      <c r="C1" t="s">
        <v>1318</v>
      </c>
      <c r="D1" t="s">
        <v>1319</v>
      </c>
      <c r="E1" t="s">
        <v>1320</v>
      </c>
      <c r="F1" t="s">
        <v>1321</v>
      </c>
      <c r="G1" t="s">
        <v>1322</v>
      </c>
      <c r="H1" t="s">
        <v>1323</v>
      </c>
      <c r="I1" t="s">
        <v>1324</v>
      </c>
      <c r="J1" t="s">
        <v>1325</v>
      </c>
      <c r="K1" s="6" t="s">
        <v>1326</v>
      </c>
      <c r="L1" t="s">
        <v>1327</v>
      </c>
    </row>
    <row r="2" spans="1:12">
      <c r="A2" t="s">
        <v>1328</v>
      </c>
      <c r="B2" s="2" t="s">
        <v>1329</v>
      </c>
      <c r="E2" s="8" t="s">
        <v>1330</v>
      </c>
      <c r="F2" t="s">
        <v>1331</v>
      </c>
      <c r="G2" t="s">
        <v>1331</v>
      </c>
      <c r="I2" s="27"/>
      <c r="J2" s="27"/>
    </row>
    <row r="3" spans="1:12">
      <c r="A3" t="s">
        <v>1332</v>
      </c>
      <c r="E3" s="8"/>
      <c r="F3" s="2" t="s">
        <v>1333</v>
      </c>
      <c r="G3" t="s">
        <v>1334</v>
      </c>
      <c r="I3" s="27"/>
      <c r="J3" s="27"/>
    </row>
    <row r="4" spans="1:12">
      <c r="A4" t="s">
        <v>1335</v>
      </c>
      <c r="E4" s="8"/>
      <c r="I4" s="27"/>
      <c r="J4" s="27"/>
    </row>
    <row r="5" spans="1:12">
      <c r="A5" t="s">
        <v>1336</v>
      </c>
      <c r="E5" s="8"/>
      <c r="I5" s="27"/>
      <c r="J5" s="27"/>
    </row>
    <row r="6" spans="1:12">
      <c r="A6" t="s">
        <v>1337</v>
      </c>
      <c r="E6" s="8"/>
      <c r="I6" s="27"/>
      <c r="J6" s="27"/>
    </row>
  </sheetData>
  <phoneticPr fontId="11" type="noConversion"/>
  <dataValidations count="3">
    <dataValidation type="list" allowBlank="1" showInputMessage="1" showErrorMessage="1" sqref="E2:E6" xr:uid="{00000000-0002-0000-0600-000000000000}">
      <formula1>_MDGeneralStatus</formula1>
    </dataValidation>
    <dataValidation type="list" allowBlank="1" showInputMessage="1" showErrorMessage="1" sqref="F2:F6" xr:uid="{00000000-0002-0000-0600-000001000000}">
      <formula1>_MDGeneralPriority</formula1>
    </dataValidation>
    <dataValidation type="list" allowBlank="1" showInputMessage="1" showErrorMessage="1" sqref="G2:G6" xr:uid="{00000000-0002-0000-0600-000002000000}">
      <formula1>_MDUrgency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22"/>
  <dimension ref="A1:L2"/>
  <sheetViews>
    <sheetView zoomScale="140" zoomScaleNormal="140" workbookViewId="0">
      <selection activeCell="J24" sqref="J24"/>
    </sheetView>
  </sheetViews>
  <sheetFormatPr defaultColWidth="11.42578125" defaultRowHeight="12.75"/>
  <cols>
    <col min="4" max="4" width="24" customWidth="1"/>
    <col min="5" max="5" width="26.140625" customWidth="1"/>
    <col min="10" max="10" width="21.7109375" customWidth="1"/>
    <col min="11" max="11" width="19.28515625" customWidth="1"/>
  </cols>
  <sheetData>
    <row r="1" spans="1:12" s="10" customFormat="1" ht="30.75">
      <c r="A1" s="3" t="s">
        <v>1338</v>
      </c>
      <c r="B1" s="8" t="s">
        <v>1317</v>
      </c>
      <c r="C1" s="8" t="s">
        <v>1339</v>
      </c>
      <c r="D1" s="8" t="s">
        <v>1340</v>
      </c>
      <c r="E1" s="8" t="s">
        <v>1341</v>
      </c>
      <c r="F1" s="4" t="s">
        <v>1342</v>
      </c>
      <c r="G1" s="4" t="s">
        <v>1343</v>
      </c>
      <c r="H1" s="4" t="s">
        <v>1344</v>
      </c>
      <c r="I1" s="4" t="s">
        <v>1345</v>
      </c>
      <c r="J1" s="3" t="s">
        <v>1346</v>
      </c>
      <c r="K1" s="4" t="s">
        <v>1347</v>
      </c>
      <c r="L1" s="4" t="s">
        <v>1348</v>
      </c>
    </row>
    <row r="2" spans="1:12">
      <c r="A2" s="2" t="s">
        <v>1349</v>
      </c>
      <c r="J2" s="30"/>
    </row>
  </sheetData>
  <phoneticPr fontId="11" type="noConversion"/>
  <dataValidations count="1">
    <dataValidation type="list" allowBlank="1" showInputMessage="1" showErrorMessage="1" sqref="F2" xr:uid="{00000000-0002-0000-0700-000000000000}">
      <formula1>_MDGeneralStatus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1000000}">
          <x14:formula1>
            <xm:f>'Table Data'!$A$3:$A$6</xm:f>
          </x14:formula1>
          <xm:sqref>J2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23"/>
  <dimension ref="A1:M4"/>
  <sheetViews>
    <sheetView topLeftCell="D1" zoomScale="140" zoomScaleNormal="140" workbookViewId="0">
      <selection activeCell="K2" sqref="K2"/>
    </sheetView>
  </sheetViews>
  <sheetFormatPr defaultColWidth="11.42578125" defaultRowHeight="12.75"/>
  <cols>
    <col min="2" max="2" width="16.85546875" customWidth="1"/>
    <col min="3" max="3" width="26.42578125" customWidth="1"/>
    <col min="4" max="4" width="32.140625" customWidth="1"/>
    <col min="5" max="6" width="14.28515625" customWidth="1"/>
    <col min="7" max="7" width="15.7109375" customWidth="1"/>
    <col min="8" max="8" width="18.28515625" customWidth="1"/>
    <col min="9" max="9" width="14.85546875" customWidth="1"/>
    <col min="10" max="10" width="15" customWidth="1"/>
    <col min="12" max="12" width="15.140625" customWidth="1"/>
    <col min="13" max="13" width="34.42578125" customWidth="1"/>
    <col min="14" max="14" width="44.7109375" bestFit="1" customWidth="1"/>
  </cols>
  <sheetData>
    <row r="1" spans="1:13" ht="14.25">
      <c r="A1" t="s">
        <v>1350</v>
      </c>
      <c r="B1" t="s">
        <v>1317</v>
      </c>
      <c r="C1" t="s">
        <v>1339</v>
      </c>
      <c r="D1" t="s">
        <v>1340</v>
      </c>
      <c r="E1" t="s">
        <v>1351</v>
      </c>
      <c r="F1" t="s">
        <v>1352</v>
      </c>
      <c r="G1" t="s">
        <v>1353</v>
      </c>
      <c r="H1" t="s">
        <v>1324</v>
      </c>
      <c r="I1" t="s">
        <v>1325</v>
      </c>
      <c r="J1" t="s">
        <v>1354</v>
      </c>
      <c r="K1" s="5" t="s">
        <v>1355</v>
      </c>
      <c r="L1" t="s">
        <v>1356</v>
      </c>
      <c r="M1" t="s">
        <v>1357</v>
      </c>
    </row>
    <row r="2" spans="1:13" s="30" customFormat="1" ht="99.75">
      <c r="A2" s="29" t="s">
        <v>1358</v>
      </c>
      <c r="B2" s="29" t="s">
        <v>1359</v>
      </c>
      <c r="C2" s="29" t="s">
        <v>1360</v>
      </c>
      <c r="D2" s="29" t="s">
        <v>1361</v>
      </c>
      <c r="E2" s="8" t="s">
        <v>1330</v>
      </c>
      <c r="F2" s="8"/>
      <c r="L2" s="29" t="s">
        <v>1362</v>
      </c>
    </row>
    <row r="3" spans="1:13" s="31" customFormat="1">
      <c r="F3" s="8"/>
    </row>
    <row r="4" spans="1:13" s="31" customFormat="1">
      <c r="F4" s="8"/>
    </row>
  </sheetData>
  <phoneticPr fontId="11" type="noConversion"/>
  <dataValidations count="2">
    <dataValidation type="list" allowBlank="1" showInputMessage="1" showErrorMessage="1" sqref="E2" xr:uid="{00000000-0002-0000-0800-000000000000}">
      <formula1>_MDGeneralStatus</formula1>
    </dataValidation>
    <dataValidation type="list" allowBlank="1" showInputMessage="1" showErrorMessage="1" sqref="F2:F4" xr:uid="{00000000-0002-0000-0800-000001000000}">
      <formula1>_MDGeneralPriority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2000000}">
          <x14:formula1>
            <xm:f>'Table Data'!$A$3:$A$6</xm:f>
          </x14:formula1>
          <xm:sqref>K2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24"/>
  <dimension ref="A1:M6"/>
  <sheetViews>
    <sheetView zoomScale="120" zoomScaleNormal="120" workbookViewId="0">
      <selection activeCell="E2" sqref="E2"/>
    </sheetView>
  </sheetViews>
  <sheetFormatPr defaultColWidth="11.42578125" defaultRowHeight="12.75"/>
  <cols>
    <col min="1" max="1" width="14.85546875" customWidth="1"/>
    <col min="2" max="2" width="17.7109375" customWidth="1"/>
    <col min="3" max="3" width="21" bestFit="1" customWidth="1"/>
    <col min="4" max="4" width="37.140625" customWidth="1"/>
    <col min="5" max="5" width="21" customWidth="1"/>
    <col min="7" max="7" width="14.85546875" style="27" customWidth="1"/>
    <col min="12" max="12" width="0" hidden="1" customWidth="1"/>
    <col min="13" max="13" width="12.85546875" hidden="1" customWidth="1"/>
    <col min="14" max="14" width="45.140625" bestFit="1" customWidth="1"/>
  </cols>
  <sheetData>
    <row r="1" spans="1:13" s="4" customFormat="1" ht="63.75">
      <c r="A1" s="4" t="s">
        <v>1363</v>
      </c>
      <c r="B1" s="4" t="s">
        <v>1364</v>
      </c>
      <c r="C1" s="3" t="s">
        <v>1365</v>
      </c>
      <c r="D1" s="3" t="s">
        <v>1340</v>
      </c>
      <c r="E1" s="3" t="s">
        <v>1366</v>
      </c>
      <c r="F1" s="37" t="s">
        <v>1367</v>
      </c>
      <c r="G1" s="4" t="s">
        <v>1368</v>
      </c>
      <c r="H1" s="9" t="s">
        <v>1369</v>
      </c>
      <c r="I1" s="9" t="s">
        <v>1326</v>
      </c>
      <c r="J1" s="3" t="s">
        <v>1353</v>
      </c>
      <c r="K1" s="4" t="s">
        <v>1321</v>
      </c>
      <c r="L1" s="4" t="s">
        <v>1370</v>
      </c>
      <c r="M1" s="4" t="s">
        <v>1327</v>
      </c>
    </row>
    <row r="2" spans="1:13">
      <c r="A2" t="s">
        <v>1371</v>
      </c>
      <c r="B2" s="2" t="s">
        <v>46</v>
      </c>
      <c r="C2" s="2" t="s">
        <v>1372</v>
      </c>
      <c r="E2" s="8"/>
      <c r="F2" s="27"/>
      <c r="G2"/>
      <c r="H2" s="27"/>
      <c r="I2" s="27"/>
      <c r="K2" s="8"/>
      <c r="L2" s="8"/>
      <c r="M2" s="8"/>
    </row>
    <row r="3" spans="1:13">
      <c r="A3" t="s">
        <v>1373</v>
      </c>
      <c r="E3" s="8"/>
      <c r="F3" s="27"/>
      <c r="G3"/>
      <c r="H3" s="27"/>
      <c r="I3" s="27"/>
      <c r="K3" s="8"/>
    </row>
    <row r="4" spans="1:13">
      <c r="A4" t="s">
        <v>1374</v>
      </c>
      <c r="E4" s="8"/>
      <c r="F4" s="27"/>
      <c r="G4"/>
      <c r="H4" s="27"/>
      <c r="I4" s="27"/>
      <c r="K4" s="8"/>
    </row>
    <row r="5" spans="1:13">
      <c r="A5" t="s">
        <v>1375</v>
      </c>
      <c r="E5" s="8"/>
      <c r="F5" s="27"/>
      <c r="G5"/>
      <c r="H5" s="27"/>
      <c r="I5" s="27"/>
      <c r="K5" s="8"/>
    </row>
    <row r="6" spans="1:13">
      <c r="A6" t="s">
        <v>1376</v>
      </c>
      <c r="E6" s="8"/>
      <c r="F6" s="27"/>
      <c r="G6"/>
      <c r="H6" s="27"/>
      <c r="I6" s="27"/>
      <c r="K6" s="8"/>
    </row>
  </sheetData>
  <phoneticPr fontId="11" type="noConversion"/>
  <dataValidations count="2">
    <dataValidation type="list" allowBlank="1" showInputMessage="1" showErrorMessage="1" sqref="E2:E6" xr:uid="{00000000-0002-0000-0900-000000000000}">
      <formula1>_MDGeneralStatus</formula1>
    </dataValidation>
    <dataValidation type="list" allowBlank="1" showInputMessage="1" showErrorMessage="1" sqref="K2:M2 K3:K6" xr:uid="{00000000-0002-0000-0900-000001000000}">
      <formula1>_MDGeneralPriority</formula1>
    </dataValidation>
  </dataValidation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5"/>
  <dimension ref="A1:O2"/>
  <sheetViews>
    <sheetView zoomScale="150" zoomScaleNormal="150" workbookViewId="0">
      <selection activeCell="E2" sqref="E2"/>
    </sheetView>
  </sheetViews>
  <sheetFormatPr defaultColWidth="11.42578125" defaultRowHeight="12.75"/>
  <cols>
    <col min="1" max="1" width="14.85546875" customWidth="1"/>
    <col min="2" max="2" width="12.28515625" customWidth="1"/>
    <col min="3" max="3" width="21.28515625" customWidth="1"/>
    <col min="4" max="4" width="20" customWidth="1"/>
    <col min="6" max="6" width="16.140625" customWidth="1"/>
    <col min="9" max="9" width="12.42578125" customWidth="1"/>
    <col min="10" max="10" width="16.42578125" customWidth="1"/>
    <col min="11" max="11" width="20.140625" customWidth="1"/>
    <col min="12" max="13" width="23" customWidth="1"/>
    <col min="14" max="15" width="30.42578125" customWidth="1"/>
  </cols>
  <sheetData>
    <row r="1" spans="1:15" s="9" customFormat="1" ht="54" customHeight="1">
      <c r="A1" s="9" t="s">
        <v>1377</v>
      </c>
      <c r="B1" s="9" t="s">
        <v>1317</v>
      </c>
      <c r="C1" s="9" t="s">
        <v>1339</v>
      </c>
      <c r="D1" s="9" t="s">
        <v>1340</v>
      </c>
      <c r="E1" s="9" t="s">
        <v>1378</v>
      </c>
      <c r="F1" s="9" t="s">
        <v>1344</v>
      </c>
      <c r="G1" s="9" t="s">
        <v>1369</v>
      </c>
      <c r="H1" s="9" t="s">
        <v>1326</v>
      </c>
      <c r="I1" s="9" t="s">
        <v>1379</v>
      </c>
      <c r="J1" s="9" t="s">
        <v>1380</v>
      </c>
      <c r="K1" s="9" t="s">
        <v>1381</v>
      </c>
      <c r="L1" s="7" t="s">
        <v>1382</v>
      </c>
      <c r="M1" s="7" t="s">
        <v>1383</v>
      </c>
      <c r="N1" s="9" t="s">
        <v>1384</v>
      </c>
      <c r="O1" s="9" t="s">
        <v>1385</v>
      </c>
    </row>
    <row r="2" spans="1:15" s="8" customFormat="1" ht="28.5">
      <c r="A2" s="32" t="s">
        <v>1386</v>
      </c>
      <c r="B2" s="33" t="s">
        <v>1329</v>
      </c>
      <c r="C2" s="17" t="s">
        <v>1387</v>
      </c>
    </row>
  </sheetData>
  <phoneticPr fontId="11" type="noConversion"/>
  <dataValidations count="1">
    <dataValidation type="list" allowBlank="1" showInputMessage="1" showErrorMessage="1" sqref="E2" xr:uid="{00000000-0002-0000-0A00-000000000000}">
      <formula1>_MDGeneralStatus</formula1>
    </dataValidation>
  </dataValidation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26">
    <tabColor theme="9" tint="-0.249977111117893"/>
    <pageSetUpPr fitToPage="1"/>
  </sheetPr>
  <dimension ref="A1:G39"/>
  <sheetViews>
    <sheetView zoomScale="130" zoomScaleNormal="130" workbookViewId="0">
      <selection activeCell="G11" sqref="G11"/>
    </sheetView>
  </sheetViews>
  <sheetFormatPr defaultColWidth="7.42578125" defaultRowHeight="14.25"/>
  <cols>
    <col min="1" max="1" width="18.7109375" style="18" customWidth="1"/>
    <col min="2" max="2" width="16.140625" style="18" customWidth="1"/>
    <col min="3" max="4" width="16.42578125" style="18" customWidth="1"/>
    <col min="5" max="5" width="14.140625" style="18" hidden="1" customWidth="1"/>
    <col min="6" max="6" width="14.28515625" style="18" customWidth="1"/>
    <col min="7" max="7" width="8.7109375" style="18" bestFit="1" customWidth="1"/>
    <col min="8" max="16384" width="7.42578125" style="18"/>
  </cols>
  <sheetData>
    <row r="1" spans="1:7" ht="49.5" customHeight="1" thickBot="1">
      <c r="A1" s="273" t="s">
        <v>1388</v>
      </c>
      <c r="B1" s="273"/>
      <c r="C1" s="273"/>
      <c r="D1" s="273"/>
      <c r="E1" s="273"/>
      <c r="F1" s="273"/>
      <c r="G1" s="273"/>
    </row>
    <row r="2" spans="1:7" ht="15">
      <c r="A2" s="19" t="s">
        <v>1389</v>
      </c>
      <c r="B2" s="19" t="s">
        <v>1320</v>
      </c>
      <c r="C2" s="19" t="s">
        <v>1390</v>
      </c>
      <c r="D2" s="20" t="s">
        <v>1391</v>
      </c>
      <c r="E2" s="21" t="s">
        <v>1392</v>
      </c>
      <c r="F2" s="19" t="s">
        <v>1393</v>
      </c>
      <c r="G2" s="19" t="s">
        <v>1322</v>
      </c>
    </row>
    <row r="3" spans="1:7">
      <c r="A3" s="22" t="s">
        <v>1331</v>
      </c>
      <c r="B3" s="22" t="s">
        <v>1330</v>
      </c>
      <c r="C3" s="22" t="s">
        <v>1394</v>
      </c>
      <c r="D3" s="23" t="s">
        <v>1395</v>
      </c>
      <c r="E3" s="22" t="s">
        <v>1396</v>
      </c>
      <c r="F3" s="35" t="s">
        <v>1397</v>
      </c>
      <c r="G3" s="35" t="s">
        <v>1397</v>
      </c>
    </row>
    <row r="4" spans="1:7" ht="15" thickBot="1">
      <c r="A4" s="22" t="s">
        <v>1334</v>
      </c>
      <c r="B4" s="22" t="s">
        <v>1396</v>
      </c>
      <c r="C4" s="22" t="s">
        <v>1398</v>
      </c>
      <c r="D4" s="24" t="s">
        <v>1399</v>
      </c>
      <c r="E4" s="22" t="s">
        <v>1400</v>
      </c>
      <c r="F4" s="35" t="s">
        <v>1401</v>
      </c>
      <c r="G4" s="35" t="s">
        <v>1401</v>
      </c>
    </row>
    <row r="5" spans="1:7" ht="15" customHeight="1">
      <c r="A5" s="22" t="s">
        <v>1397</v>
      </c>
      <c r="B5" s="22" t="s">
        <v>1402</v>
      </c>
      <c r="C5" s="22" t="s">
        <v>1403</v>
      </c>
      <c r="E5" s="22" t="s">
        <v>1404</v>
      </c>
      <c r="F5" s="35" t="s">
        <v>1334</v>
      </c>
      <c r="G5" s="35" t="s">
        <v>1334</v>
      </c>
    </row>
    <row r="6" spans="1:7" ht="15" customHeight="1" thickBot="1">
      <c r="A6" s="25" t="s">
        <v>1401</v>
      </c>
      <c r="B6" s="25" t="s">
        <v>133</v>
      </c>
      <c r="C6" s="22" t="s">
        <v>1405</v>
      </c>
      <c r="E6" s="22" t="s">
        <v>1406</v>
      </c>
      <c r="F6" s="36" t="s">
        <v>1331</v>
      </c>
      <c r="G6" s="35" t="s">
        <v>1331</v>
      </c>
    </row>
    <row r="7" spans="1:7" ht="15" customHeight="1">
      <c r="C7" s="22" t="s">
        <v>1407</v>
      </c>
      <c r="E7" s="22" t="s">
        <v>1408</v>
      </c>
      <c r="G7" s="22"/>
    </row>
    <row r="8" spans="1:7" ht="15" customHeight="1" thickBot="1">
      <c r="C8" s="25" t="s">
        <v>1409</v>
      </c>
      <c r="E8" s="25" t="s">
        <v>1410</v>
      </c>
      <c r="G8" s="25"/>
    </row>
    <row r="9" spans="1:7" ht="15" customHeight="1"/>
    <row r="10" spans="1:7" ht="15" customHeight="1"/>
    <row r="11" spans="1:7" ht="15" customHeight="1"/>
    <row r="12" spans="1:7" ht="15" customHeight="1"/>
    <row r="13" spans="1:7" ht="15" customHeight="1"/>
    <row r="14" spans="1:7" ht="9" customHeight="1"/>
    <row r="15" spans="1:7" ht="15" customHeight="1"/>
    <row r="16" spans="1:7" ht="15" customHeight="1"/>
    <row r="17" spans="3:4" ht="15" customHeight="1"/>
    <row r="18" spans="3:4" ht="15" customHeight="1"/>
    <row r="19" spans="3:4" ht="15" customHeight="1"/>
    <row r="20" spans="3:4" ht="15" customHeight="1"/>
    <row r="21" spans="3:4" ht="15" customHeight="1"/>
    <row r="22" spans="3:4" ht="15" customHeight="1">
      <c r="C22" s="26"/>
      <c r="D22" s="26"/>
    </row>
    <row r="23" spans="3:4" ht="15" customHeight="1">
      <c r="C23" s="26"/>
      <c r="D23" s="26"/>
    </row>
    <row r="24" spans="3:4" ht="15" customHeight="1">
      <c r="C24" s="26"/>
      <c r="D24" s="26"/>
    </row>
    <row r="25" spans="3:4" ht="15" customHeight="1"/>
    <row r="26" spans="3:4" ht="15" customHeight="1"/>
    <row r="27" spans="3:4" ht="15" customHeight="1"/>
    <row r="28" spans="3:4" ht="15" customHeight="1"/>
    <row r="29" spans="3:4" ht="15" customHeight="1"/>
    <row r="30" spans="3:4" ht="15" customHeight="1"/>
    <row r="31" spans="3:4" ht="15" customHeight="1"/>
    <row r="32" spans="3:4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</sheetData>
  <mergeCells count="1">
    <mergeCell ref="A1:G1"/>
  </mergeCells>
  <phoneticPr fontId="11" type="noConversion"/>
  <printOptions horizontalCentered="1"/>
  <pageMargins left="0.7" right="0.7" top="0.75" bottom="0.75" header="0.3" footer="0.3"/>
  <pageSetup fitToHeight="0" orientation="landscape" r:id="rId1"/>
  <headerFooter>
    <oddHeader>&amp;C&amp;"Segoe UI,Bold"&amp;14GAP - Cloud Modernization Program&amp;"Segoe UI,Regular"&amp;11
&amp;"Segoe UI,Bold Italic"&amp;14&amp;A</oddHeader>
    <oddFooter>&amp;LProject Log:  Risk Register, Issue Log, Action Items, Key Decisions, Deliverables, Change Requests, Meeting Log&amp;R&amp;"Segoe UI,Regular"&amp;9Page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22E45447975AE64797C7498FB4E3118B" ma:contentTypeVersion="12" ma:contentTypeDescription="建立新的文件。" ma:contentTypeScope="" ma:versionID="60491cd9cc71ad6b833ac5affdf21898">
  <xsd:schema xmlns:xsd="http://www.w3.org/2001/XMLSchema" xmlns:xs="http://www.w3.org/2001/XMLSchema" xmlns:p="http://schemas.microsoft.com/office/2006/metadata/properties" xmlns:ns1="http://schemas.microsoft.com/sharepoint/v3" xmlns:ns2="1215058d-3e4d-431e-8ccc-5002ad8dd544" xmlns:ns3="8bff12ff-d33c-439d-9eeb-1d294630640f" targetNamespace="http://schemas.microsoft.com/office/2006/metadata/properties" ma:root="true" ma:fieldsID="8574d79dc1bf1c8f100bffdd6d27f534" ns1:_="" ns2:_="" ns3:_="">
    <xsd:import namespace="http://schemas.microsoft.com/sharepoint/v3"/>
    <xsd:import namespace="1215058d-3e4d-431e-8ccc-5002ad8dd544"/>
    <xsd:import namespace="8bff12ff-d33c-439d-9eeb-1d29463064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統一規範原則內容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統一規範原則 UI 動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15058d-3e4d-431e-8ccc-5002ad8dd5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f12ff-d33c-439d-9eeb-1d294630640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442D6BE-D251-482A-884E-74FE3B7367F3}"/>
</file>

<file path=customXml/itemProps2.xml><?xml version="1.0" encoding="utf-8"?>
<ds:datastoreItem xmlns:ds="http://schemas.openxmlformats.org/officeDocument/2006/customXml" ds:itemID="{8A6516F4-27E5-4852-A0BD-86EE2900AD5F}"/>
</file>

<file path=customXml/itemProps3.xml><?xml version="1.0" encoding="utf-8"?>
<ds:datastoreItem xmlns:ds="http://schemas.openxmlformats.org/officeDocument/2006/customXml" ds:itemID="{BC411626-1370-4062-94DD-B041E7A1FB06}"/>
</file>

<file path=customXml/itemProps4.xml><?xml version="1.0" encoding="utf-8"?>
<ds:datastoreItem xmlns:ds="http://schemas.openxmlformats.org/officeDocument/2006/customXml" ds:itemID="{2AC0DE1C-F71C-4C68-B5BE-7BF8E3896D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姜姵含[Debbie]</dc:creator>
  <cp:keywords/>
  <dc:description/>
  <cp:lastModifiedBy/>
  <cp:revision/>
  <dcterms:created xsi:type="dcterms:W3CDTF">2023-12-25T06:25:50Z</dcterms:created>
  <dcterms:modified xsi:type="dcterms:W3CDTF">2026-06-03T05:54:12Z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0x01010022E45447975AE64797C7498FB4E3118B</vt:lpwstr>
  </property>
</Properties>
</file>