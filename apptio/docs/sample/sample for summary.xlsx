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\\Pfdepnas48\雲端架構發展部\雲端治理規劃科_New\07 雲端帳務相關\GCP\各月份發票明細請款單\EDP\2026\2026-04\資訊\"/>
    </mc:Choice>
  </mc:AlternateContent>
  <xr:revisionPtr revIDLastSave="0" documentId="8_{07011CAA-B79A-4C44-8CB8-3E42A743B8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國泰世華" sheetId="1" r:id="rId1"/>
    <sheet name="Apige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bTpiPoiUQJaKxw4LaKqfxSP5zVqGckmdAXKoB9tk5o="/>
    </ext>
  </extLst>
</workbook>
</file>

<file path=xl/calcChain.xml><?xml version="1.0" encoding="utf-8"?>
<calcChain xmlns="http://schemas.openxmlformats.org/spreadsheetml/2006/main">
  <c r="H9" i="1" l="1"/>
  <c r="H10" i="1" s="1"/>
  <c r="H5" i="2"/>
  <c r="H9" i="2" s="1"/>
  <c r="H10" i="2" s="1"/>
</calcChain>
</file>

<file path=xl/sharedStrings.xml><?xml version="1.0" encoding="utf-8"?>
<sst xmlns="http://schemas.openxmlformats.org/spreadsheetml/2006/main" count="61" uniqueCount="41">
  <si>
    <t>GCP 2026年04月費用清單</t>
  </si>
  <si>
    <t>GCP 用量總金額</t>
  </si>
  <si>
    <t>美金</t>
  </si>
  <si>
    <t>客戶名稱：</t>
  </si>
  <si>
    <t>國泰世華</t>
  </si>
  <si>
    <t>Partner 用量金額</t>
  </si>
  <si>
    <t>地址：</t>
  </si>
  <si>
    <t>匯率</t>
  </si>
  <si>
    <t>統一編號：</t>
  </si>
  <si>
    <t>計費類型：</t>
  </si>
  <si>
    <t>Billing Account</t>
  </si>
  <si>
    <t>付費帳戶：</t>
  </si>
  <si>
    <t>01A890-7C1B4C-AE7BA6</t>
  </si>
  <si>
    <t>營業稅</t>
  </si>
  <si>
    <t>5%</t>
  </si>
  <si>
    <t>帳款到期日期：</t>
  </si>
  <si>
    <t>應付金額</t>
  </si>
  <si>
    <t>台幣</t>
  </si>
  <si>
    <t>專案 ID
(Project ID)</t>
  </si>
  <si>
    <t>專案名稱
(Project Name)</t>
  </si>
  <si>
    <t>產品服務
(Service description)</t>
  </si>
  <si>
    <t>產品 ID
(Service ID)</t>
  </si>
  <si>
    <t>資源類型
(SKU description)</t>
  </si>
  <si>
    <t>資源 ID
(SKU ID)</t>
  </si>
  <si>
    <t>用量開始日期
(Usage start date)</t>
  </si>
  <si>
    <t>用量結束日期
(Usage end date)</t>
  </si>
  <si>
    <t>使用數量
(Usage amount)</t>
  </si>
  <si>
    <t>單位
(Usage unit)</t>
  </si>
  <si>
    <t>FREE_TIER</t>
  </si>
  <si>
    <t>COMMITTED_USAGE_DISCOUNT</t>
  </si>
  <si>
    <t>COMMITTED_USAGE_DISCOUNT_DOLLAR_BASE</t>
  </si>
  <si>
    <t>DISCOUNT</t>
  </si>
  <si>
    <t>PROMOTION</t>
  </si>
  <si>
    <t>SUBSCRIPTION_BENEFIT</t>
  </si>
  <si>
    <t>SUSTAINED_USAGE_DISCOUNT</t>
  </si>
  <si>
    <t>Google 金額
(Cost ($))</t>
  </si>
  <si>
    <t>Partner 金額
(Partner Cost($))</t>
  </si>
  <si>
    <t>Google Discount</t>
  </si>
  <si>
    <t>Partner Discount</t>
  </si>
  <si>
    <t>Total Discount</t>
  </si>
  <si>
    <t>Apigee X Standard (2024) subscription_May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</si>
</sst>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176" formatCode="\$#,##0.00"/>
    <numFmt numFmtId="177" formatCode="&quot;NT$&quot;#,##0"/>
    <numFmt numFmtId="178" formatCode="yyyy\-m\-d"/>
    <numFmt numFmtId="179" formatCode="yyyy\-mm\-dd"/>
    <numFmt numFmtId="180" formatCode="0.000000"/>
    <numFmt numFmtId="181" formatCode="#,##0.000000_ "/>
    <numFmt numFmtId="182" formatCode="#,##0.00000_ "/>
    <numFmt numFmtId="183" formatCode="&quot;NT$&quot;#,##0_);\(&quot;NT$&quot;#,##0\)"/>
  </numFmts>
  <fonts count="6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0" fontId="2" fillId="0" borderId="1" xfId="0" applyFont="1" applyBorder="1"/>
    <xf numFmtId="0" fontId="3" fillId="0" borderId="2" xfId="0" applyFont="1" applyBorder="1"/>
    <xf numFmtId="178" fontId="3" fillId="0" borderId="2" xfId="0" applyNumberFormat="1" applyFont="1" applyBorder="1" applyAlignment="1">
      <alignment horizontal="left"/>
    </xf>
    <xf numFmtId="179" fontId="3" fillId="0" borderId="2" xfId="0" applyNumberFormat="1" applyFont="1" applyBorder="1" applyAlignment="1">
      <alignment horizontal="left"/>
    </xf>
    <xf numFmtId="180" fontId="3" fillId="0" borderId="2" xfId="0" applyNumberFormat="1" applyFont="1" applyBorder="1"/>
    <xf numFmtId="180" fontId="3" fillId="0" borderId="2" xfId="0" applyNumberFormat="1" applyFont="1" applyBorder="1" applyAlignment="1">
      <alignment horizontal="right"/>
    </xf>
    <xf numFmtId="180" fontId="2" fillId="0" borderId="2" xfId="0" applyNumberFormat="1" applyFont="1" applyBorder="1"/>
    <xf numFmtId="10" fontId="3" fillId="0" borderId="2" xfId="0" applyNumberFormat="1" applyFont="1" applyBorder="1"/>
    <xf numFmtId="10" fontId="3" fillId="0" borderId="3" xfId="0" applyNumberFormat="1" applyFont="1" applyBorder="1"/>
    <xf numFmtId="181" fontId="2" fillId="0" borderId="0" xfId="0" applyNumberFormat="1" applyFont="1" applyAlignment="1">
      <alignment horizontal="right"/>
    </xf>
    <xf numFmtId="182" fontId="2" fillId="0" borderId="0" xfId="0" applyNumberFormat="1" applyFont="1" applyAlignment="1">
      <alignment horizontal="right"/>
    </xf>
    <xf numFmtId="8" fontId="4" fillId="0" borderId="0" xfId="0" applyNumberFormat="1" applyFont="1"/>
    <xf numFmtId="183" fontId="4" fillId="0" borderId="0" xfId="0" applyNumberFormat="1" applyFont="1"/>
    <xf numFmtId="0" fontId="2" fillId="0" borderId="0" xfId="0" applyFont="1" applyAlignment="1">
      <alignment horizontal="left"/>
    </xf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topLeftCell="D1" workbookViewId="0">
      <selection activeCell="B7" sqref="B7:E7"/>
    </sheetView>
  </sheetViews>
  <sheetFormatPr defaultColWidth="14.42578125" defaultRowHeight="15" customHeight="1" x14ac:dyDescent="0.25"/>
  <cols>
    <col min="1" max="2" width="36.42578125" customWidth="1"/>
    <col min="3" max="3" width="49.42578125" customWidth="1"/>
    <col min="4" max="4" width="17.5703125" customWidth="1"/>
    <col min="5" max="5" width="125" customWidth="1"/>
    <col min="6" max="6" width="20" customWidth="1"/>
    <col min="7" max="7" width="22.28515625" customWidth="1"/>
    <col min="8" max="8" width="20" customWidth="1"/>
    <col min="9" max="9" width="17.5703125" customWidth="1"/>
    <col min="10" max="10" width="18.7109375" customWidth="1"/>
    <col min="11" max="11" width="11.7109375" customWidth="1"/>
    <col min="12" max="12" width="29.42578125" customWidth="1"/>
    <col min="13" max="13" width="43.5703125" customWidth="1"/>
    <col min="14" max="14" width="14" customWidth="1"/>
    <col min="15" max="15" width="11.7109375" customWidth="1"/>
    <col min="16" max="16" width="24.7109375" customWidth="1"/>
    <col min="17" max="17" width="29.42578125" customWidth="1"/>
    <col min="18" max="18" width="15.28515625" customWidth="1"/>
    <col min="19" max="19" width="21.140625" customWidth="1"/>
    <col min="20" max="20" width="18.7109375" customWidth="1"/>
    <col min="21" max="21" width="20" customWidth="1"/>
    <col min="22" max="22" width="17.5703125" customWidth="1"/>
  </cols>
  <sheetData>
    <row r="1" spans="1:12" ht="14.25" customHeight="1" x14ac:dyDescent="0.25"/>
    <row r="2" spans="1:12" ht="14.25" customHeight="1" x14ac:dyDescent="0.25">
      <c r="A2" s="20" t="s">
        <v>0</v>
      </c>
      <c r="B2" s="19"/>
    </row>
    <row r="3" spans="1:12" ht="14.25" customHeight="1" x14ac:dyDescent="0.25">
      <c r="A3" s="19"/>
      <c r="B3" s="19"/>
      <c r="F3" s="2" t="s">
        <v>1</v>
      </c>
      <c r="G3" s="2" t="s">
        <v>2</v>
      </c>
      <c r="H3" s="3">
        <v>230150.17</v>
      </c>
      <c r="I3" s="2"/>
      <c r="J3" s="2"/>
      <c r="K3" s="2"/>
      <c r="L3" s="2"/>
    </row>
    <row r="4" spans="1:12" ht="14.25" customHeight="1" x14ac:dyDescent="0.25">
      <c r="A4" s="1" t="s">
        <v>3</v>
      </c>
      <c r="B4" s="18" t="s">
        <v>4</v>
      </c>
      <c r="C4" s="19"/>
      <c r="D4" s="19"/>
      <c r="E4" s="19"/>
      <c r="F4" s="2" t="s">
        <v>5</v>
      </c>
      <c r="G4" s="2" t="s">
        <v>2</v>
      </c>
      <c r="H4" s="16">
        <v>223741.45</v>
      </c>
      <c r="I4" s="2"/>
      <c r="J4" s="2"/>
      <c r="K4" s="2"/>
      <c r="L4" s="2"/>
    </row>
    <row r="5" spans="1:12" ht="14.25" customHeight="1" x14ac:dyDescent="0.25">
      <c r="A5" s="1" t="s">
        <v>6</v>
      </c>
      <c r="B5" s="18"/>
      <c r="C5" s="19"/>
      <c r="D5" s="19"/>
      <c r="E5" s="19"/>
      <c r="F5" s="2" t="s">
        <v>7</v>
      </c>
      <c r="G5" s="2">
        <v>31.93</v>
      </c>
      <c r="H5" s="17">
        <v>7144064</v>
      </c>
      <c r="I5" s="2"/>
      <c r="J5" s="2"/>
      <c r="K5" s="2"/>
      <c r="L5" s="2"/>
    </row>
    <row r="6" spans="1:12" ht="14.25" customHeight="1" x14ac:dyDescent="0.25">
      <c r="B6" s="18"/>
      <c r="C6" s="19"/>
      <c r="D6" s="19"/>
      <c r="E6" s="19"/>
      <c r="F6" s="2"/>
      <c r="G6" s="2"/>
      <c r="H6" s="4"/>
      <c r="I6" s="2"/>
      <c r="J6" s="2"/>
      <c r="K6" s="2"/>
      <c r="L6" s="2"/>
    </row>
    <row r="7" spans="1:12" ht="14.25" customHeight="1" x14ac:dyDescent="0.25">
      <c r="A7" s="1" t="s">
        <v>8</v>
      </c>
      <c r="B7" s="18"/>
      <c r="C7" s="19"/>
      <c r="D7" s="19"/>
      <c r="E7" s="19"/>
      <c r="F7" s="2"/>
      <c r="G7" s="2"/>
      <c r="H7" s="4"/>
      <c r="I7" s="2"/>
      <c r="J7" s="2"/>
      <c r="K7" s="2"/>
      <c r="L7" s="2"/>
    </row>
    <row r="8" spans="1:12" ht="14.25" customHeight="1" x14ac:dyDescent="0.25">
      <c r="A8" s="1" t="s">
        <v>9</v>
      </c>
      <c r="B8" s="18" t="s">
        <v>10</v>
      </c>
      <c r="C8" s="19"/>
      <c r="D8" s="19"/>
      <c r="E8" s="19"/>
      <c r="F8" s="2"/>
      <c r="G8" s="2"/>
      <c r="H8" s="4"/>
      <c r="I8" s="2"/>
      <c r="J8" s="2"/>
      <c r="K8" s="2"/>
      <c r="L8" s="2"/>
    </row>
    <row r="9" spans="1:12" ht="14.25" customHeight="1" x14ac:dyDescent="0.25">
      <c r="A9" s="1" t="s">
        <v>11</v>
      </c>
      <c r="B9" s="18" t="s">
        <v>12</v>
      </c>
      <c r="C9" s="19"/>
      <c r="D9" s="19"/>
      <c r="E9" s="19"/>
      <c r="F9" s="2" t="s">
        <v>13</v>
      </c>
      <c r="G9" s="2" t="s">
        <v>14</v>
      </c>
      <c r="H9" s="4">
        <f>H5*G9</f>
        <v>357203.20000000001</v>
      </c>
      <c r="I9" s="2"/>
      <c r="J9" s="2"/>
      <c r="K9" s="2"/>
      <c r="L9" s="2"/>
    </row>
    <row r="10" spans="1:12" ht="14.25" customHeight="1" x14ac:dyDescent="0.25">
      <c r="A10" s="1" t="s">
        <v>15</v>
      </c>
      <c r="F10" s="2" t="s">
        <v>16</v>
      </c>
      <c r="G10" s="2" t="s">
        <v>17</v>
      </c>
      <c r="H10" s="4">
        <f>H9+H5</f>
        <v>7501267.2000000002</v>
      </c>
      <c r="I10" s="2"/>
      <c r="J10" s="2"/>
      <c r="K10" s="2"/>
      <c r="L10" s="2"/>
    </row>
  </sheetData>
  <mergeCells count="8">
    <mergeCell ref="B7:E7"/>
    <mergeCell ref="B8:E8"/>
    <mergeCell ref="B9:E9"/>
    <mergeCell ref="A2:B2"/>
    <mergeCell ref="A3:B3"/>
    <mergeCell ref="B4:E4"/>
    <mergeCell ref="B5:E5"/>
    <mergeCell ref="B6:E6"/>
  </mergeCells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754FB-2F43-47E5-A824-9D9A918164DA}">
  <dimension ref="A1:V13"/>
  <sheetViews>
    <sheetView topLeftCell="E1" workbookViewId="0">
      <selection activeCell="J7" sqref="J7"/>
    </sheetView>
  </sheetViews>
  <sheetFormatPr defaultRowHeight="15" x14ac:dyDescent="0.25"/>
  <cols>
    <col min="6" max="6" width="19.7109375" customWidth="1"/>
    <col min="7" max="7" width="20.5703125" customWidth="1"/>
    <col min="8" max="8" width="27.85546875" customWidth="1"/>
    <col min="9" max="9" width="15.140625" bestFit="1" customWidth="1"/>
    <col min="18" max="19" width="12.85546875" customWidth="1"/>
  </cols>
  <sheetData>
    <row r="1" spans="1:22" ht="14.25" customHeight="1" x14ac:dyDescent="0.25"/>
    <row r="2" spans="1:22" ht="14.25" customHeight="1" x14ac:dyDescent="0.25">
      <c r="A2" s="20" t="s">
        <v>0</v>
      </c>
      <c r="B2" s="19"/>
    </row>
    <row r="3" spans="1:22" ht="14.25" customHeight="1" x14ac:dyDescent="0.25">
      <c r="A3" s="19"/>
      <c r="B3" s="19"/>
      <c r="F3" s="2" t="s">
        <v>1</v>
      </c>
      <c r="G3" s="2" t="s">
        <v>2</v>
      </c>
      <c r="H3" s="3">
        <v>3600</v>
      </c>
      <c r="I3" s="14"/>
      <c r="J3" s="2"/>
      <c r="K3" s="2"/>
      <c r="L3" s="2"/>
    </row>
    <row r="4" spans="1:22" ht="14.25" customHeight="1" x14ac:dyDescent="0.25">
      <c r="A4" s="1" t="s">
        <v>3</v>
      </c>
      <c r="B4" s="18" t="s">
        <v>4</v>
      </c>
      <c r="C4" s="19"/>
      <c r="D4" s="19"/>
      <c r="E4" s="19"/>
      <c r="F4" s="2" t="s">
        <v>5</v>
      </c>
      <c r="G4" s="2" t="s">
        <v>2</v>
      </c>
      <c r="H4" s="3">
        <v>3600</v>
      </c>
      <c r="I4" s="15"/>
      <c r="J4" s="2"/>
      <c r="K4" s="2"/>
      <c r="L4" s="2"/>
    </row>
    <row r="5" spans="1:22" ht="14.25" customHeight="1" x14ac:dyDescent="0.25">
      <c r="A5" s="1" t="s">
        <v>6</v>
      </c>
      <c r="B5" s="18"/>
      <c r="C5" s="19"/>
      <c r="D5" s="19"/>
      <c r="E5" s="19"/>
      <c r="F5" s="2" t="s">
        <v>7</v>
      </c>
      <c r="G5" s="2">
        <v>31.93</v>
      </c>
      <c r="H5" s="4">
        <f>H4*G5</f>
        <v>114948</v>
      </c>
      <c r="I5" s="2"/>
      <c r="J5" s="2"/>
      <c r="K5" s="2"/>
      <c r="L5" s="2"/>
    </row>
    <row r="6" spans="1:22" ht="14.25" customHeight="1" x14ac:dyDescent="0.25">
      <c r="B6" s="18"/>
      <c r="C6" s="19"/>
      <c r="D6" s="19"/>
      <c r="E6" s="19"/>
      <c r="F6" s="2"/>
      <c r="G6" s="2"/>
      <c r="H6" s="4"/>
      <c r="I6" s="2"/>
      <c r="J6" s="2"/>
      <c r="K6" s="2"/>
      <c r="L6" s="2"/>
    </row>
    <row r="7" spans="1:22" ht="14.25" customHeight="1" x14ac:dyDescent="0.25">
      <c r="A7" s="1" t="s">
        <v>8</v>
      </c>
      <c r="B7" s="18"/>
      <c r="C7" s="19"/>
      <c r="D7" s="19"/>
      <c r="E7" s="19"/>
      <c r="F7" s="2"/>
      <c r="G7" s="2"/>
      <c r="H7" s="4"/>
      <c r="I7" s="2"/>
      <c r="J7" s="2"/>
      <c r="K7" s="2"/>
      <c r="L7" s="2"/>
    </row>
    <row r="8" spans="1:22" ht="14.25" customHeight="1" x14ac:dyDescent="0.25">
      <c r="A8" s="1" t="s">
        <v>9</v>
      </c>
      <c r="B8" s="18" t="s">
        <v>10</v>
      </c>
      <c r="C8" s="19"/>
      <c r="D8" s="19"/>
      <c r="E8" s="19"/>
      <c r="F8" s="2"/>
      <c r="G8" s="2"/>
      <c r="H8" s="4"/>
      <c r="I8" s="2"/>
      <c r="J8" s="2"/>
      <c r="K8" s="2"/>
      <c r="L8" s="2"/>
    </row>
    <row r="9" spans="1:22" ht="14.25" customHeight="1" x14ac:dyDescent="0.25">
      <c r="A9" s="1" t="s">
        <v>11</v>
      </c>
      <c r="B9" s="18" t="s">
        <v>12</v>
      </c>
      <c r="C9" s="19"/>
      <c r="D9" s="19"/>
      <c r="E9" s="19"/>
      <c r="F9" s="2" t="s">
        <v>13</v>
      </c>
      <c r="G9" s="2" t="s">
        <v>14</v>
      </c>
      <c r="H9" s="4">
        <f>H5*G9</f>
        <v>5747.4000000000005</v>
      </c>
      <c r="I9" s="2"/>
      <c r="J9" s="2"/>
      <c r="K9" s="2"/>
      <c r="L9" s="2"/>
    </row>
    <row r="10" spans="1:22" ht="14.25" customHeight="1" x14ac:dyDescent="0.25">
      <c r="A10" s="1" t="s">
        <v>15</v>
      </c>
      <c r="F10" s="2" t="s">
        <v>16</v>
      </c>
      <c r="G10" s="2" t="s">
        <v>17</v>
      </c>
      <c r="H10" s="4">
        <f>H9+H5</f>
        <v>120695.4</v>
      </c>
      <c r="I10" s="2"/>
      <c r="J10" s="2"/>
      <c r="K10" s="2"/>
      <c r="L10" s="2"/>
    </row>
    <row r="11" spans="1:22" ht="14.25" customHeight="1" thickBot="1" x14ac:dyDescent="0.3"/>
    <row r="12" spans="1:22" ht="14.25" customHeight="1" thickTop="1" thickBot="1" x14ac:dyDescent="0.3">
      <c r="A12" s="5" t="s">
        <v>18</v>
      </c>
      <c r="B12" s="5" t="s">
        <v>19</v>
      </c>
      <c r="C12" s="5" t="s">
        <v>20</v>
      </c>
      <c r="D12" s="5" t="s">
        <v>21</v>
      </c>
      <c r="E12" s="5" t="s">
        <v>22</v>
      </c>
      <c r="F12" s="5" t="s">
        <v>23</v>
      </c>
      <c r="G12" s="5" t="s">
        <v>24</v>
      </c>
      <c r="H12" s="5" t="s">
        <v>25</v>
      </c>
      <c r="I12" s="5" t="s">
        <v>26</v>
      </c>
      <c r="J12" s="5" t="s">
        <v>27</v>
      </c>
      <c r="K12" s="5" t="s">
        <v>28</v>
      </c>
      <c r="L12" s="5" t="s">
        <v>29</v>
      </c>
      <c r="M12" s="5" t="s">
        <v>30</v>
      </c>
      <c r="N12" s="5" t="s">
        <v>31</v>
      </c>
      <c r="O12" s="5" t="s">
        <v>32</v>
      </c>
      <c r="P12" s="5" t="s">
        <v>33</v>
      </c>
      <c r="Q12" s="5" t="s">
        <v>34</v>
      </c>
      <c r="R12" s="5" t="s">
        <v>35</v>
      </c>
      <c r="S12" s="5" t="s">
        <v>36</v>
      </c>
      <c r="T12" s="5" t="s">
        <v>37</v>
      </c>
      <c r="U12" s="5" t="s">
        <v>38</v>
      </c>
      <c r="V12" s="5" t="s">
        <v>39</v>
      </c>
    </row>
    <row r="13" spans="1:22" ht="14.25" customHeight="1" thickTop="1" x14ac:dyDescent="0.25">
      <c r="A13" s="6"/>
      <c r="B13" s="6"/>
      <c r="C13" s="6"/>
      <c r="D13" s="6"/>
      <c r="E13" s="6" t="s">
        <v>40</v>
      </c>
      <c r="F13" s="6"/>
      <c r="G13" s="7">
        <v>46143</v>
      </c>
      <c r="H13" s="8">
        <v>46173</v>
      </c>
      <c r="I13" s="6"/>
      <c r="J13" s="6"/>
      <c r="K13" s="9"/>
      <c r="L13" s="9"/>
      <c r="M13" s="9"/>
      <c r="N13" s="9"/>
      <c r="O13" s="9"/>
      <c r="P13" s="9"/>
      <c r="Q13" s="9"/>
      <c r="R13" s="10">
        <v>3600</v>
      </c>
      <c r="S13" s="11">
        <v>3600</v>
      </c>
      <c r="T13" s="12"/>
      <c r="U13" s="12"/>
      <c r="V13" s="13"/>
    </row>
  </sheetData>
  <mergeCells count="8">
    <mergeCell ref="B8:E8"/>
    <mergeCell ref="B9:E9"/>
    <mergeCell ref="A2:B2"/>
    <mergeCell ref="A3:B3"/>
    <mergeCell ref="B4:E4"/>
    <mergeCell ref="B5:E5"/>
    <mergeCell ref="B6:E6"/>
    <mergeCell ref="B7:E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國泰世華</vt:lpstr>
      <vt:lpstr>Apigee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連昱睿 DK</cp:lastModifiedBy>
  <dcterms:created xsi:type="dcterms:W3CDTF">2026-05-02T05:31:21Z</dcterms:created>
  <dcterms:modified xsi:type="dcterms:W3CDTF">2026-05-26T08:27:06Z</dcterms:modified>
</cp:coreProperties>
</file>